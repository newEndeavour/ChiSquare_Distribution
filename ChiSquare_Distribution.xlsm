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/>
  <workbookPr date1904="1" showInkAnnotation="0" autoCompressPictures="0"/>
  <bookViews>
    <workbookView xWindow="0" yWindow="0" windowWidth="28740" windowHeight="17540" tabRatio="500"/>
  </bookViews>
  <sheets>
    <sheet name="ChiSquare_n" sheetId="24" r:id="rId1"/>
  </sheets>
  <definedNames>
    <definedName name="ENV_DATA">OFFSET(#REF!,0,0,COUNT(#REF!),1)</definedName>
    <definedName name="FOIL.LINE.A_HELD__WPN" localSheetId="0">ChiSquare_n!#REF!</definedName>
    <definedName name="N_ENV_DATA">OFFSET(#REF!,0,0,COUNT(#REF!),1)</definedName>
    <definedName name="N_RAWDATA">OFFSET(#REF!,0,0,COUNT(#REF!),1)</definedName>
    <definedName name="OCCURDATA">OFFSET(#REF!,0,0,COUNT(#REF!),1)</definedName>
    <definedName name="RAWDATA">OFFSET(#REF!,0,0,COUNT(#REF!),1)</definedName>
    <definedName name="REFDATA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00" i="24" l="1"/>
  <c r="Q100" i="24"/>
  <c r="R99" i="24"/>
  <c r="Q99" i="24"/>
  <c r="R98" i="24"/>
  <c r="Q98" i="24"/>
  <c r="R97" i="24"/>
  <c r="Q97" i="24"/>
  <c r="R96" i="24"/>
  <c r="Q96" i="24"/>
  <c r="R95" i="24"/>
  <c r="Q95" i="24"/>
  <c r="R94" i="24"/>
  <c r="Q94" i="24"/>
  <c r="R93" i="24"/>
  <c r="Q93" i="24"/>
  <c r="R92" i="24"/>
  <c r="Q92" i="24"/>
  <c r="R91" i="24"/>
  <c r="Q91" i="24"/>
  <c r="R90" i="24"/>
  <c r="Q90" i="24"/>
  <c r="R89" i="24"/>
  <c r="Q89" i="24"/>
  <c r="R88" i="24"/>
  <c r="Q88" i="24"/>
  <c r="R87" i="24"/>
  <c r="Q87" i="24"/>
  <c r="R86" i="24"/>
  <c r="Q86" i="24"/>
  <c r="R85" i="24"/>
  <c r="Q85" i="24"/>
  <c r="R84" i="24"/>
  <c r="Q84" i="24"/>
  <c r="R83" i="24"/>
  <c r="Q83" i="24"/>
  <c r="R82" i="24"/>
  <c r="Q82" i="24"/>
  <c r="R81" i="24"/>
  <c r="Q81" i="24"/>
  <c r="R80" i="24"/>
  <c r="Q80" i="24"/>
  <c r="R79" i="24"/>
  <c r="Q79" i="24"/>
  <c r="R78" i="24"/>
  <c r="Q78" i="24"/>
  <c r="R77" i="24"/>
  <c r="Q77" i="24"/>
  <c r="R76" i="24"/>
  <c r="Q76" i="24"/>
  <c r="R75" i="24"/>
  <c r="Q75" i="24"/>
  <c r="R74" i="24"/>
  <c r="Q74" i="24"/>
  <c r="R73" i="24"/>
  <c r="Q73" i="24"/>
  <c r="R72" i="24"/>
  <c r="Q72" i="24"/>
  <c r="R71" i="24"/>
  <c r="Q71" i="24"/>
  <c r="R70" i="24"/>
  <c r="Q70" i="24"/>
  <c r="R69" i="24"/>
  <c r="Q69" i="24"/>
  <c r="R68" i="24"/>
  <c r="Q68" i="24"/>
  <c r="R67" i="24"/>
  <c r="Q67" i="24"/>
  <c r="R66" i="24"/>
  <c r="Q66" i="24"/>
  <c r="R65" i="24"/>
  <c r="Q65" i="24"/>
  <c r="R64" i="24"/>
  <c r="Q64" i="24"/>
  <c r="R63" i="24"/>
  <c r="Q63" i="24"/>
  <c r="R62" i="24"/>
  <c r="Q62" i="24"/>
  <c r="R61" i="24"/>
  <c r="Q61" i="24"/>
  <c r="R60" i="24"/>
  <c r="Q60" i="24"/>
  <c r="R59" i="24"/>
  <c r="Q59" i="24"/>
  <c r="R58" i="24"/>
  <c r="Q58" i="24"/>
  <c r="R57" i="24"/>
  <c r="Q57" i="24"/>
  <c r="R56" i="24"/>
  <c r="Q56" i="24"/>
  <c r="R55" i="24"/>
  <c r="Q55" i="24"/>
  <c r="R54" i="24"/>
  <c r="Q54" i="24"/>
  <c r="R53" i="24"/>
  <c r="Q53" i="24"/>
  <c r="R52" i="24"/>
  <c r="Q52" i="24"/>
  <c r="R51" i="24"/>
  <c r="Q51" i="24"/>
  <c r="R50" i="24"/>
  <c r="Q50" i="24"/>
  <c r="R49" i="24"/>
  <c r="Q49" i="24"/>
  <c r="R48" i="24"/>
  <c r="Q48" i="24"/>
  <c r="R47" i="24"/>
  <c r="Q47" i="24"/>
  <c r="R46" i="24"/>
  <c r="Q46" i="24"/>
  <c r="R45" i="24"/>
  <c r="Q45" i="24"/>
  <c r="R44" i="24"/>
  <c r="Q44" i="24"/>
  <c r="R43" i="24"/>
  <c r="Q43" i="24"/>
  <c r="R42" i="24"/>
  <c r="Q42" i="24"/>
  <c r="R41" i="24"/>
  <c r="Q41" i="24"/>
  <c r="R40" i="24"/>
  <c r="Q40" i="24"/>
  <c r="R39" i="24"/>
  <c r="Q39" i="24"/>
  <c r="R38" i="24"/>
  <c r="Q38" i="24"/>
  <c r="R37" i="24"/>
  <c r="Q37" i="24"/>
  <c r="R36" i="24"/>
  <c r="Q36" i="24"/>
  <c r="R35" i="24"/>
  <c r="Q35" i="24"/>
  <c r="R34" i="24"/>
  <c r="Q34" i="24"/>
  <c r="R33" i="24"/>
  <c r="Q33" i="24"/>
  <c r="R32" i="24"/>
  <c r="Q32" i="24"/>
  <c r="R31" i="24"/>
  <c r="Q31" i="24"/>
  <c r="R30" i="24"/>
  <c r="Q30" i="24"/>
  <c r="R29" i="24"/>
  <c r="Q29" i="24"/>
  <c r="R28" i="24"/>
  <c r="Q28" i="24"/>
  <c r="R27" i="24"/>
  <c r="Q27" i="24"/>
  <c r="R26" i="24"/>
  <c r="Q26" i="24"/>
  <c r="R25" i="24"/>
  <c r="Q25" i="24"/>
  <c r="R24" i="24"/>
  <c r="Q24" i="24"/>
  <c r="R23" i="24"/>
  <c r="Q23" i="24"/>
  <c r="R22" i="24"/>
  <c r="Q22" i="24"/>
  <c r="R21" i="24"/>
  <c r="Q21" i="24"/>
  <c r="R20" i="24"/>
  <c r="Q20" i="24"/>
  <c r="R19" i="24"/>
  <c r="Q19" i="24"/>
  <c r="R18" i="24"/>
  <c r="Q18" i="24"/>
  <c r="R17" i="24"/>
  <c r="Q17" i="24"/>
  <c r="R16" i="24"/>
  <c r="Q16" i="24"/>
  <c r="R15" i="24"/>
  <c r="Q15" i="24"/>
  <c r="R14" i="24"/>
  <c r="Q14" i="24"/>
  <c r="R13" i="24"/>
  <c r="Q13" i="24"/>
  <c r="R12" i="24"/>
  <c r="Q12" i="24"/>
  <c r="R11" i="24"/>
  <c r="Q11" i="24"/>
  <c r="R10" i="24"/>
  <c r="Q10" i="24"/>
  <c r="R9" i="24"/>
  <c r="Q9" i="24"/>
  <c r="R8" i="24"/>
  <c r="Q8" i="24"/>
  <c r="R7" i="24"/>
  <c r="Q7" i="24"/>
  <c r="R6" i="24"/>
  <c r="Q6" i="24"/>
  <c r="R5" i="24"/>
  <c r="Q5" i="24"/>
  <c r="R4" i="24"/>
  <c r="Q4" i="24"/>
  <c r="O100" i="24"/>
  <c r="N100" i="24"/>
  <c r="O99" i="24"/>
  <c r="N99" i="24"/>
  <c r="O98" i="24"/>
  <c r="N98" i="24"/>
  <c r="O97" i="24"/>
  <c r="N97" i="24"/>
  <c r="O96" i="24"/>
  <c r="N96" i="24"/>
  <c r="O95" i="24"/>
  <c r="N95" i="24"/>
  <c r="O94" i="24"/>
  <c r="N94" i="24"/>
  <c r="O93" i="24"/>
  <c r="N93" i="24"/>
  <c r="O92" i="24"/>
  <c r="N92" i="24"/>
  <c r="O91" i="24"/>
  <c r="N91" i="24"/>
  <c r="O90" i="24"/>
  <c r="N90" i="24"/>
  <c r="O89" i="24"/>
  <c r="N89" i="24"/>
  <c r="O88" i="24"/>
  <c r="N88" i="24"/>
  <c r="O87" i="24"/>
  <c r="N87" i="24"/>
  <c r="O86" i="24"/>
  <c r="N86" i="24"/>
  <c r="O85" i="24"/>
  <c r="N85" i="24"/>
  <c r="O84" i="24"/>
  <c r="N84" i="24"/>
  <c r="O83" i="24"/>
  <c r="N83" i="24"/>
  <c r="O82" i="24"/>
  <c r="N82" i="24"/>
  <c r="O81" i="24"/>
  <c r="N81" i="24"/>
  <c r="O80" i="24"/>
  <c r="N80" i="24"/>
  <c r="O79" i="24"/>
  <c r="N79" i="24"/>
  <c r="O78" i="24"/>
  <c r="N78" i="24"/>
  <c r="O77" i="24"/>
  <c r="N77" i="24"/>
  <c r="O76" i="24"/>
  <c r="N76" i="24"/>
  <c r="O75" i="24"/>
  <c r="N75" i="24"/>
  <c r="O74" i="24"/>
  <c r="N74" i="24"/>
  <c r="O73" i="24"/>
  <c r="N73" i="24"/>
  <c r="O72" i="24"/>
  <c r="N72" i="24"/>
  <c r="O71" i="24"/>
  <c r="N71" i="24"/>
  <c r="O70" i="24"/>
  <c r="N70" i="24"/>
  <c r="O69" i="24"/>
  <c r="N69" i="24"/>
  <c r="O68" i="24"/>
  <c r="N68" i="24"/>
  <c r="O67" i="24"/>
  <c r="N67" i="24"/>
  <c r="O66" i="24"/>
  <c r="N66" i="24"/>
  <c r="O65" i="24"/>
  <c r="N65" i="24"/>
  <c r="O64" i="24"/>
  <c r="N64" i="24"/>
  <c r="O63" i="24"/>
  <c r="N63" i="24"/>
  <c r="O62" i="24"/>
  <c r="N62" i="24"/>
  <c r="O61" i="24"/>
  <c r="N61" i="24"/>
  <c r="O60" i="24"/>
  <c r="N60" i="24"/>
  <c r="O59" i="24"/>
  <c r="N59" i="24"/>
  <c r="O58" i="24"/>
  <c r="N58" i="24"/>
  <c r="O57" i="24"/>
  <c r="N57" i="24"/>
  <c r="O56" i="24"/>
  <c r="N56" i="24"/>
  <c r="O55" i="24"/>
  <c r="N55" i="24"/>
  <c r="O54" i="24"/>
  <c r="N54" i="24"/>
  <c r="O53" i="24"/>
  <c r="N53" i="24"/>
  <c r="O52" i="24"/>
  <c r="N52" i="24"/>
  <c r="O51" i="24"/>
  <c r="N51" i="24"/>
  <c r="O50" i="24"/>
  <c r="N50" i="24"/>
  <c r="O49" i="24"/>
  <c r="N49" i="24"/>
  <c r="O48" i="24"/>
  <c r="N48" i="24"/>
  <c r="O47" i="24"/>
  <c r="N47" i="24"/>
  <c r="O46" i="24"/>
  <c r="N46" i="24"/>
  <c r="O45" i="24"/>
  <c r="N45" i="24"/>
  <c r="O44" i="24"/>
  <c r="N44" i="24"/>
  <c r="O43" i="24"/>
  <c r="N43" i="24"/>
  <c r="O42" i="24"/>
  <c r="N42" i="24"/>
  <c r="O41" i="24"/>
  <c r="N41" i="24"/>
  <c r="O40" i="24"/>
  <c r="N40" i="24"/>
  <c r="O39" i="24"/>
  <c r="N39" i="24"/>
  <c r="O38" i="24"/>
  <c r="N38" i="24"/>
  <c r="O37" i="24"/>
  <c r="N37" i="24"/>
  <c r="O36" i="24"/>
  <c r="N36" i="24"/>
  <c r="O35" i="24"/>
  <c r="N35" i="24"/>
  <c r="O34" i="24"/>
  <c r="N34" i="24"/>
  <c r="O33" i="24"/>
  <c r="N33" i="24"/>
  <c r="O32" i="24"/>
  <c r="N32" i="24"/>
  <c r="O31" i="24"/>
  <c r="N31" i="24"/>
  <c r="O30" i="24"/>
  <c r="N30" i="24"/>
  <c r="O29" i="24"/>
  <c r="N29" i="24"/>
  <c r="O28" i="24"/>
  <c r="N28" i="24"/>
  <c r="O27" i="24"/>
  <c r="N27" i="24"/>
  <c r="O26" i="24"/>
  <c r="N26" i="24"/>
  <c r="O25" i="24"/>
  <c r="N25" i="24"/>
  <c r="O24" i="24"/>
  <c r="N24" i="24"/>
  <c r="O23" i="24"/>
  <c r="N23" i="24"/>
  <c r="O22" i="24"/>
  <c r="N22" i="24"/>
  <c r="O21" i="24"/>
  <c r="N21" i="24"/>
  <c r="O20" i="24"/>
  <c r="N20" i="24"/>
  <c r="O19" i="24"/>
  <c r="N19" i="24"/>
  <c r="O18" i="24"/>
  <c r="N18" i="24"/>
  <c r="O17" i="24"/>
  <c r="N17" i="24"/>
  <c r="O16" i="24"/>
  <c r="N16" i="24"/>
  <c r="O15" i="24"/>
  <c r="N15" i="24"/>
  <c r="O14" i="24"/>
  <c r="N14" i="24"/>
  <c r="O13" i="24"/>
  <c r="N13" i="24"/>
  <c r="O12" i="24"/>
  <c r="N12" i="24"/>
  <c r="O11" i="24"/>
  <c r="N11" i="24"/>
  <c r="O10" i="24"/>
  <c r="N10" i="24"/>
  <c r="O9" i="24"/>
  <c r="N9" i="24"/>
  <c r="O8" i="24"/>
  <c r="N8" i="24"/>
  <c r="O7" i="24"/>
  <c r="N7" i="24"/>
  <c r="O6" i="24"/>
  <c r="N6" i="24"/>
  <c r="O5" i="24"/>
  <c r="N5" i="24"/>
  <c r="O4" i="24"/>
  <c r="N4" i="24"/>
  <c r="L100" i="24"/>
  <c r="K100" i="24"/>
  <c r="L99" i="24"/>
  <c r="K99" i="24"/>
  <c r="L98" i="24"/>
  <c r="K98" i="24"/>
  <c r="L97" i="24"/>
  <c r="K97" i="24"/>
  <c r="L96" i="24"/>
  <c r="K96" i="24"/>
  <c r="L95" i="24"/>
  <c r="K95" i="24"/>
  <c r="L94" i="24"/>
  <c r="K94" i="24"/>
  <c r="L93" i="24"/>
  <c r="K93" i="24"/>
  <c r="L92" i="24"/>
  <c r="K92" i="24"/>
  <c r="L91" i="24"/>
  <c r="K91" i="24"/>
  <c r="L90" i="24"/>
  <c r="K90" i="24"/>
  <c r="L89" i="24"/>
  <c r="K89" i="24"/>
  <c r="L88" i="24"/>
  <c r="K88" i="24"/>
  <c r="L87" i="24"/>
  <c r="K87" i="24"/>
  <c r="L86" i="24"/>
  <c r="K86" i="24"/>
  <c r="L85" i="24"/>
  <c r="K85" i="24"/>
  <c r="L84" i="24"/>
  <c r="K84" i="24"/>
  <c r="L83" i="24"/>
  <c r="K83" i="24"/>
  <c r="L82" i="24"/>
  <c r="K82" i="24"/>
  <c r="L81" i="24"/>
  <c r="K81" i="24"/>
  <c r="L80" i="24"/>
  <c r="K80" i="24"/>
  <c r="L79" i="24"/>
  <c r="K79" i="24"/>
  <c r="L78" i="24"/>
  <c r="K78" i="24"/>
  <c r="L77" i="24"/>
  <c r="K77" i="24"/>
  <c r="L76" i="24"/>
  <c r="K76" i="24"/>
  <c r="L75" i="24"/>
  <c r="K75" i="24"/>
  <c r="L74" i="24"/>
  <c r="K74" i="24"/>
  <c r="L73" i="24"/>
  <c r="K73" i="24"/>
  <c r="L72" i="24"/>
  <c r="K72" i="24"/>
  <c r="L71" i="24"/>
  <c r="K71" i="24"/>
  <c r="L70" i="24"/>
  <c r="K70" i="24"/>
  <c r="L69" i="24"/>
  <c r="K69" i="24"/>
  <c r="L68" i="24"/>
  <c r="K68" i="24"/>
  <c r="L67" i="24"/>
  <c r="K67" i="24"/>
  <c r="L66" i="24"/>
  <c r="K66" i="24"/>
  <c r="L65" i="24"/>
  <c r="K65" i="24"/>
  <c r="L64" i="24"/>
  <c r="K64" i="24"/>
  <c r="L63" i="24"/>
  <c r="K63" i="24"/>
  <c r="L62" i="24"/>
  <c r="K62" i="24"/>
  <c r="L61" i="24"/>
  <c r="K61" i="24"/>
  <c r="L60" i="24"/>
  <c r="K60" i="24"/>
  <c r="L59" i="24"/>
  <c r="K59" i="24"/>
  <c r="L58" i="24"/>
  <c r="K58" i="24"/>
  <c r="L57" i="24"/>
  <c r="K57" i="24"/>
  <c r="L56" i="24"/>
  <c r="K56" i="24"/>
  <c r="L55" i="24"/>
  <c r="K55" i="24"/>
  <c r="L54" i="24"/>
  <c r="K54" i="24"/>
  <c r="L53" i="24"/>
  <c r="K53" i="24"/>
  <c r="L52" i="24"/>
  <c r="K52" i="24"/>
  <c r="L51" i="24"/>
  <c r="K51" i="24"/>
  <c r="L50" i="24"/>
  <c r="K50" i="24"/>
  <c r="L49" i="24"/>
  <c r="K49" i="24"/>
  <c r="L48" i="24"/>
  <c r="K48" i="24"/>
  <c r="L47" i="24"/>
  <c r="K47" i="24"/>
  <c r="L46" i="24"/>
  <c r="K46" i="24"/>
  <c r="L45" i="24"/>
  <c r="K45" i="24"/>
  <c r="L44" i="24"/>
  <c r="K44" i="24"/>
  <c r="L43" i="24"/>
  <c r="K43" i="24"/>
  <c r="L42" i="24"/>
  <c r="K42" i="24"/>
  <c r="L41" i="24"/>
  <c r="K41" i="24"/>
  <c r="L40" i="24"/>
  <c r="K40" i="24"/>
  <c r="L39" i="24"/>
  <c r="K39" i="24"/>
  <c r="L38" i="24"/>
  <c r="K38" i="24"/>
  <c r="L37" i="24"/>
  <c r="K37" i="24"/>
  <c r="L36" i="24"/>
  <c r="K36" i="24"/>
  <c r="L35" i="24"/>
  <c r="K35" i="24"/>
  <c r="L34" i="24"/>
  <c r="K34" i="24"/>
  <c r="L33" i="24"/>
  <c r="K33" i="24"/>
  <c r="L32" i="24"/>
  <c r="K32" i="24"/>
  <c r="L31" i="24"/>
  <c r="K31" i="24"/>
  <c r="L30" i="24"/>
  <c r="K30" i="24"/>
  <c r="L29" i="24"/>
  <c r="K29" i="24"/>
  <c r="L28" i="24"/>
  <c r="K28" i="24"/>
  <c r="L27" i="24"/>
  <c r="K27" i="24"/>
  <c r="L26" i="24"/>
  <c r="K26" i="24"/>
  <c r="L25" i="24"/>
  <c r="K25" i="24"/>
  <c r="L24" i="24"/>
  <c r="K24" i="24"/>
  <c r="L23" i="24"/>
  <c r="K23" i="24"/>
  <c r="L22" i="24"/>
  <c r="K22" i="24"/>
  <c r="L21" i="24"/>
  <c r="K21" i="24"/>
  <c r="L20" i="24"/>
  <c r="K20" i="24"/>
  <c r="L19" i="24"/>
  <c r="K19" i="24"/>
  <c r="L18" i="24"/>
  <c r="K18" i="24"/>
  <c r="L17" i="24"/>
  <c r="K17" i="24"/>
  <c r="L16" i="24"/>
  <c r="K16" i="24"/>
  <c r="L15" i="24"/>
  <c r="K15" i="24"/>
  <c r="L14" i="24"/>
  <c r="K14" i="24"/>
  <c r="L13" i="24"/>
  <c r="K13" i="24"/>
  <c r="L12" i="24"/>
  <c r="K12" i="24"/>
  <c r="L11" i="24"/>
  <c r="K11" i="24"/>
  <c r="L10" i="24"/>
  <c r="K10" i="24"/>
  <c r="L9" i="24"/>
  <c r="K9" i="24"/>
  <c r="L8" i="24"/>
  <c r="K8" i="24"/>
  <c r="L7" i="24"/>
  <c r="K7" i="24"/>
  <c r="L6" i="24"/>
  <c r="K6" i="24"/>
  <c r="L5" i="24"/>
  <c r="K5" i="24"/>
  <c r="L4" i="24"/>
  <c r="K4" i="24"/>
  <c r="I100" i="24"/>
  <c r="H100" i="24"/>
  <c r="I99" i="24"/>
  <c r="H99" i="24"/>
  <c r="I98" i="24"/>
  <c r="H98" i="24"/>
  <c r="I97" i="24"/>
  <c r="H97" i="24"/>
  <c r="I96" i="24"/>
  <c r="H96" i="24"/>
  <c r="I95" i="24"/>
  <c r="H95" i="24"/>
  <c r="I94" i="24"/>
  <c r="H94" i="24"/>
  <c r="I93" i="24"/>
  <c r="H93" i="24"/>
  <c r="I92" i="24"/>
  <c r="H92" i="24"/>
  <c r="I91" i="24"/>
  <c r="H91" i="24"/>
  <c r="I90" i="24"/>
  <c r="H90" i="24"/>
  <c r="I89" i="24"/>
  <c r="H89" i="24"/>
  <c r="I88" i="24"/>
  <c r="H88" i="24"/>
  <c r="I87" i="24"/>
  <c r="H87" i="24"/>
  <c r="I86" i="24"/>
  <c r="H86" i="24"/>
  <c r="I85" i="24"/>
  <c r="H85" i="24"/>
  <c r="I84" i="24"/>
  <c r="H84" i="24"/>
  <c r="I83" i="24"/>
  <c r="H83" i="24"/>
  <c r="I82" i="24"/>
  <c r="H82" i="24"/>
  <c r="I81" i="24"/>
  <c r="H81" i="24"/>
  <c r="I80" i="24"/>
  <c r="H80" i="24"/>
  <c r="I79" i="24"/>
  <c r="H79" i="24"/>
  <c r="I78" i="24"/>
  <c r="H78" i="24"/>
  <c r="I77" i="24"/>
  <c r="H77" i="24"/>
  <c r="I76" i="24"/>
  <c r="H76" i="24"/>
  <c r="I75" i="24"/>
  <c r="H75" i="24"/>
  <c r="I74" i="24"/>
  <c r="H74" i="24"/>
  <c r="I73" i="24"/>
  <c r="H73" i="24"/>
  <c r="I72" i="24"/>
  <c r="H72" i="24"/>
  <c r="I71" i="24"/>
  <c r="H71" i="24"/>
  <c r="I70" i="24"/>
  <c r="H70" i="24"/>
  <c r="I69" i="24"/>
  <c r="H69" i="24"/>
  <c r="I68" i="24"/>
  <c r="H68" i="24"/>
  <c r="I67" i="24"/>
  <c r="H67" i="24"/>
  <c r="I66" i="24"/>
  <c r="H66" i="24"/>
  <c r="I65" i="24"/>
  <c r="H65" i="24"/>
  <c r="I64" i="24"/>
  <c r="H64" i="24"/>
  <c r="I63" i="24"/>
  <c r="H63" i="24"/>
  <c r="I62" i="24"/>
  <c r="H62" i="24"/>
  <c r="I61" i="24"/>
  <c r="H61" i="24"/>
  <c r="I60" i="24"/>
  <c r="H60" i="24"/>
  <c r="I59" i="24"/>
  <c r="H59" i="24"/>
  <c r="I58" i="24"/>
  <c r="H58" i="24"/>
  <c r="I57" i="24"/>
  <c r="H57" i="24"/>
  <c r="I56" i="24"/>
  <c r="H56" i="24"/>
  <c r="I55" i="24"/>
  <c r="H55" i="24"/>
  <c r="I54" i="24"/>
  <c r="H54" i="24"/>
  <c r="I53" i="24"/>
  <c r="H53" i="24"/>
  <c r="I52" i="24"/>
  <c r="H52" i="24"/>
  <c r="I51" i="24"/>
  <c r="H51" i="24"/>
  <c r="I50" i="24"/>
  <c r="H50" i="24"/>
  <c r="I49" i="24"/>
  <c r="H49" i="24"/>
  <c r="I48" i="24"/>
  <c r="H48" i="24"/>
  <c r="I47" i="24"/>
  <c r="H47" i="24"/>
  <c r="I46" i="24"/>
  <c r="H46" i="24"/>
  <c r="I45" i="24"/>
  <c r="H45" i="24"/>
  <c r="I44" i="24"/>
  <c r="H44" i="24"/>
  <c r="I43" i="24"/>
  <c r="H43" i="24"/>
  <c r="I42" i="24"/>
  <c r="H42" i="24"/>
  <c r="I41" i="24"/>
  <c r="H41" i="24"/>
  <c r="I40" i="24"/>
  <c r="H40" i="24"/>
  <c r="I39" i="24"/>
  <c r="H39" i="24"/>
  <c r="I38" i="24"/>
  <c r="H38" i="24"/>
  <c r="I37" i="24"/>
  <c r="H37" i="24"/>
  <c r="I36" i="24"/>
  <c r="H36" i="24"/>
  <c r="I35" i="24"/>
  <c r="H35" i="24"/>
  <c r="I34" i="24"/>
  <c r="H34" i="24"/>
  <c r="I33" i="24"/>
  <c r="H33" i="24"/>
  <c r="I32" i="24"/>
  <c r="H32" i="24"/>
  <c r="I31" i="24"/>
  <c r="H31" i="24"/>
  <c r="I30" i="24"/>
  <c r="H30" i="24"/>
  <c r="I29" i="24"/>
  <c r="H29" i="24"/>
  <c r="I28" i="24"/>
  <c r="H28" i="24"/>
  <c r="I27" i="24"/>
  <c r="H27" i="24"/>
  <c r="I26" i="24"/>
  <c r="H26" i="24"/>
  <c r="I25" i="24"/>
  <c r="H25" i="24"/>
  <c r="I24" i="24"/>
  <c r="H24" i="24"/>
  <c r="I23" i="24"/>
  <c r="H23" i="24"/>
  <c r="I22" i="24"/>
  <c r="H22" i="24"/>
  <c r="I21" i="24"/>
  <c r="H21" i="24"/>
  <c r="I20" i="24"/>
  <c r="H20" i="24"/>
  <c r="I19" i="24"/>
  <c r="H19" i="24"/>
  <c r="I18" i="24"/>
  <c r="H18" i="24"/>
  <c r="I17" i="24"/>
  <c r="H17" i="24"/>
  <c r="I16" i="24"/>
  <c r="H16" i="24"/>
  <c r="I15" i="24"/>
  <c r="H15" i="24"/>
  <c r="I14" i="24"/>
  <c r="H14" i="24"/>
  <c r="I13" i="24"/>
  <c r="H13" i="24"/>
  <c r="I12" i="24"/>
  <c r="H12" i="24"/>
  <c r="I11" i="24"/>
  <c r="H11" i="24"/>
  <c r="I10" i="24"/>
  <c r="H10" i="24"/>
  <c r="I9" i="24"/>
  <c r="H9" i="24"/>
  <c r="I8" i="24"/>
  <c r="H8" i="24"/>
  <c r="I7" i="24"/>
  <c r="H7" i="24"/>
  <c r="I6" i="24"/>
  <c r="H6" i="24"/>
  <c r="I5" i="24"/>
  <c r="H5" i="24"/>
  <c r="I4" i="24"/>
  <c r="H4" i="24"/>
  <c r="F100" i="24"/>
  <c r="E100" i="24"/>
  <c r="F99" i="24"/>
  <c r="E99" i="24"/>
  <c r="F98" i="24"/>
  <c r="E98" i="24"/>
  <c r="F97" i="24"/>
  <c r="E97" i="24"/>
  <c r="F96" i="24"/>
  <c r="E96" i="24"/>
  <c r="F95" i="24"/>
  <c r="E95" i="24"/>
  <c r="F94" i="24"/>
  <c r="E94" i="24"/>
  <c r="F93" i="24"/>
  <c r="E93" i="24"/>
  <c r="F92" i="24"/>
  <c r="E92" i="24"/>
  <c r="F91" i="24"/>
  <c r="E91" i="24"/>
  <c r="F90" i="24"/>
  <c r="E90" i="24"/>
  <c r="F89" i="24"/>
  <c r="E89" i="24"/>
  <c r="F88" i="24"/>
  <c r="E88" i="24"/>
  <c r="F87" i="24"/>
  <c r="E87" i="24"/>
  <c r="F86" i="24"/>
  <c r="E86" i="24"/>
  <c r="F85" i="24"/>
  <c r="E85" i="24"/>
  <c r="F84" i="24"/>
  <c r="E84" i="24"/>
  <c r="F83" i="24"/>
  <c r="E83" i="24"/>
  <c r="F82" i="24"/>
  <c r="E82" i="24"/>
  <c r="F81" i="24"/>
  <c r="E81" i="24"/>
  <c r="F80" i="24"/>
  <c r="E80" i="24"/>
  <c r="F79" i="24"/>
  <c r="E79" i="24"/>
  <c r="F78" i="24"/>
  <c r="E78" i="24"/>
  <c r="F77" i="24"/>
  <c r="E77" i="24"/>
  <c r="F76" i="24"/>
  <c r="E76" i="24"/>
  <c r="F75" i="24"/>
  <c r="E75" i="24"/>
  <c r="F74" i="24"/>
  <c r="E74" i="24"/>
  <c r="F73" i="24"/>
  <c r="E73" i="24"/>
  <c r="F72" i="24"/>
  <c r="E72" i="24"/>
  <c r="F71" i="24"/>
  <c r="E71" i="24"/>
  <c r="F70" i="24"/>
  <c r="E70" i="24"/>
  <c r="F69" i="24"/>
  <c r="E69" i="24"/>
  <c r="F68" i="24"/>
  <c r="E68" i="24"/>
  <c r="F67" i="24"/>
  <c r="E67" i="24"/>
  <c r="F66" i="24"/>
  <c r="E66" i="24"/>
  <c r="F65" i="24"/>
  <c r="E65" i="24"/>
  <c r="F64" i="24"/>
  <c r="E64" i="24"/>
  <c r="F63" i="24"/>
  <c r="E63" i="24"/>
  <c r="F62" i="24"/>
  <c r="E62" i="24"/>
  <c r="F61" i="24"/>
  <c r="E61" i="24"/>
  <c r="F60" i="24"/>
  <c r="E60" i="24"/>
  <c r="F59" i="24"/>
  <c r="E59" i="24"/>
  <c r="F58" i="24"/>
  <c r="E58" i="24"/>
  <c r="F57" i="24"/>
  <c r="E57" i="24"/>
  <c r="F56" i="24"/>
  <c r="E56" i="24"/>
  <c r="F55" i="24"/>
  <c r="E55" i="24"/>
  <c r="F54" i="24"/>
  <c r="E54" i="24"/>
  <c r="F53" i="24"/>
  <c r="E53" i="24"/>
  <c r="F52" i="24"/>
  <c r="E52" i="24"/>
  <c r="F51" i="24"/>
  <c r="E51" i="24"/>
  <c r="F50" i="24"/>
  <c r="E50" i="24"/>
  <c r="F49" i="24"/>
  <c r="E49" i="24"/>
  <c r="F48" i="24"/>
  <c r="E48" i="24"/>
  <c r="F47" i="24"/>
  <c r="E47" i="24"/>
  <c r="F46" i="24"/>
  <c r="E46" i="24"/>
  <c r="F45" i="24"/>
  <c r="E45" i="24"/>
  <c r="F44" i="24"/>
  <c r="E44" i="24"/>
  <c r="F43" i="24"/>
  <c r="E43" i="24"/>
  <c r="F42" i="24"/>
  <c r="E42" i="24"/>
  <c r="F41" i="24"/>
  <c r="E41" i="24"/>
  <c r="F40" i="24"/>
  <c r="E40" i="24"/>
  <c r="F39" i="24"/>
  <c r="E39" i="24"/>
  <c r="F38" i="24"/>
  <c r="E38" i="24"/>
  <c r="F37" i="24"/>
  <c r="E37" i="24"/>
  <c r="F36" i="24"/>
  <c r="E36" i="24"/>
  <c r="F35" i="24"/>
  <c r="E35" i="24"/>
  <c r="F34" i="24"/>
  <c r="E34" i="24"/>
  <c r="F33" i="24"/>
  <c r="E33" i="24"/>
  <c r="F32" i="24"/>
  <c r="E32" i="24"/>
  <c r="F31" i="24"/>
  <c r="E31" i="24"/>
  <c r="F30" i="24"/>
  <c r="E30" i="24"/>
  <c r="F29" i="24"/>
  <c r="E29" i="24"/>
  <c r="F28" i="24"/>
  <c r="E28" i="24"/>
  <c r="F27" i="24"/>
  <c r="E27" i="24"/>
  <c r="F26" i="24"/>
  <c r="E26" i="24"/>
  <c r="F25" i="24"/>
  <c r="E25" i="24"/>
  <c r="F24" i="24"/>
  <c r="E24" i="24"/>
  <c r="F23" i="24"/>
  <c r="E23" i="24"/>
  <c r="F22" i="24"/>
  <c r="E22" i="24"/>
  <c r="F21" i="24"/>
  <c r="E21" i="24"/>
  <c r="F20" i="24"/>
  <c r="E20" i="24"/>
  <c r="F19" i="24"/>
  <c r="E19" i="24"/>
  <c r="F18" i="24"/>
  <c r="E18" i="24"/>
  <c r="F17" i="24"/>
  <c r="E17" i="24"/>
  <c r="F16" i="24"/>
  <c r="E16" i="24"/>
  <c r="F15" i="24"/>
  <c r="E15" i="24"/>
  <c r="F14" i="24"/>
  <c r="E14" i="24"/>
  <c r="F13" i="24"/>
  <c r="E13" i="24"/>
  <c r="F12" i="24"/>
  <c r="E12" i="24"/>
  <c r="F11" i="24"/>
  <c r="E11" i="24"/>
  <c r="F10" i="24"/>
  <c r="E10" i="24"/>
  <c r="F9" i="24"/>
  <c r="E9" i="24"/>
  <c r="F8" i="24"/>
  <c r="E8" i="24"/>
  <c r="F7" i="24"/>
  <c r="E7" i="24"/>
  <c r="F6" i="24"/>
  <c r="E6" i="24"/>
  <c r="F5" i="24"/>
  <c r="E5" i="24"/>
  <c r="F4" i="24"/>
  <c r="E4" i="24"/>
  <c r="R3" i="24"/>
  <c r="Q3" i="24"/>
  <c r="O3" i="24"/>
  <c r="N3" i="24"/>
  <c r="L3" i="24"/>
  <c r="K3" i="24"/>
  <c r="I3" i="24"/>
  <c r="H3" i="24"/>
  <c r="F3" i="24"/>
  <c r="E3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</calcChain>
</file>

<file path=xl/connections.xml><?xml version="1.0" encoding="utf-8"?>
<connections xmlns="http://schemas.openxmlformats.org/spreadsheetml/2006/main">
  <connection id="1" name="EPEE.LINE.C-HELD.csv" type="6" refreshedVersion="0" background="1" saveData="1">
    <textPr fileType="mac" sourceFile="Macintosh:Users:jeromedrouin:Documents:Arduino:Projects:WORK_CapacitiveSensors:Weapon Data:Weapon Data - DISTRIBUTION:EPEE.LINE.C-HELD.csv" comma="1" semicolon="1">
      <textFields count="5">
        <textField/>
        <textField/>
        <textField/>
        <textField/>
        <textField/>
      </textFields>
    </textPr>
  </connection>
  <connection id="2" name="FOIL.LINE.A-HELD +WPN.csv" type="6" refreshedVersion="0" background="1" saveData="1">
    <textPr fileType="mac" sourceFile="Macintosh:Users:jeromedrouin:Documents:Arduino:Projects:WORK_CapacitiveSensors:Weapon Data:Weapon Data - DISTRIBUTION:FOIL.LINE.A-HELD +WPN.csv" comma="1" semicolon="1">
      <textFields count="5">
        <textField/>
        <textField/>
        <textField/>
        <textField/>
        <textField/>
      </textFields>
    </textPr>
  </connection>
  <connection id="3" name="FOIL.LINE.A-HELD.csv" type="6" refreshedVersion="0" background="1" saveData="1">
    <textPr fileType="mac" sourceFile="Macintosh:Users:jeromedrouin:Documents:Arduino:Projects:WORK_CapacitiveSensors:Weapon Data:Weapon Data - DISTRIBUTION:FOIL.LINE.A-HELD.csv" comma="1" semicolon="1">
      <textFields count="5">
        <textField/>
        <textField/>
        <textField/>
        <textField/>
        <textField/>
      </textFields>
    </textPr>
  </connection>
  <connection id="4" name="FOIL.LINE.C-HELD.csv" type="6" refreshedVersion="0" background="1" saveData="1">
    <textPr fileType="mac" sourceFile="Macintosh:Users:jeromedrouin:Documents:Arduino:Projects:WORK_CapacitiveSensors:Weapon Data:Weapon Data - DISTRIBUTION:FOIL.LINE.C-HELD.csv" comma="1" semicolon="1">
      <textFields count="5">
        <textField/>
        <textField/>
        <textField/>
        <textField/>
        <textField/>
      </textFields>
    </textPr>
  </connection>
  <connection id="5" name="RAW.csv" type="6" refreshedVersion="0" background="1" saveData="1">
    <textPr fileType="mac" sourceFile="Macintosh:Users:jeromedrouin:Downloads:RAW.csv" tab="0" semicolon="1" qualifier="none">
      <textFields count="4">
        <textField/>
        <textField/>
        <textField/>
        <textField/>
      </textFields>
    </textPr>
  </connection>
  <connection id="6" name="RAW.txt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7" name="RAW.txt1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8" name="raw2.csv" type="6" refreshedVersion="0" background="1" saveData="1">
    <textPr fileType="mac" sourceFile="Macintosh:Users:jeromedrouin:Downloads:raw2.csv" tab="0" semicolon="1">
      <textFields count="4">
        <textField/>
        <textField/>
        <textField/>
        <textField/>
      </textFields>
    </textPr>
  </connection>
  <connection id="9" name="raw3.csv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0" name="raw3.csv1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1" name="raw3.csv2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2" name="raw3.csv3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3" name="raw4.csv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4" name="raw4.csv1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5" name="raw5.csv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6" name="raw5.csv1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7" name="Untitled.csv" type="6" refreshedVersion="0" background="1" saveData="1">
    <textPr fileType="mac" sourceFile="Macintosh:Users:jeromedrouin:Downloads:Untitled.csv" comma="1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<sst xmlns="http://schemas.openxmlformats.org/spreadsheetml/2006/main" count="3" uniqueCount="3">
  <si>
    <t>TABCDEFGHIJKLMNOPQRSTUVWXYZ</t>
  </si>
  <si>
    <r>
      <t>Theta(</t>
    </r>
    <r>
      <rPr>
        <sz val="12"/>
        <color theme="1"/>
        <rFont val="Symbol"/>
      </rPr>
      <t>Q</t>
    </r>
    <r>
      <rPr>
        <sz val="12"/>
        <color theme="1"/>
        <rFont val="Calibri"/>
        <family val="2"/>
        <charset val="129"/>
        <scheme val="minor"/>
      </rPr>
      <t>)</t>
    </r>
  </si>
  <si>
    <t>abcdefgh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</si>
</sst>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"/>
  </numFmts>
  <fonts count="7" x14ac:knownFonts="1">
    <font>
      <sz val="12"/>
      <color theme="1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sz val="12"/>
      <color rgb="FF0000FF"/>
      <name val="Calibri"/>
      <scheme val="minor"/>
    </font>
    <font>
      <sz val="12"/>
      <color theme="1"/>
      <name val="Symbol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4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2" fillId="2" borderId="0" xfId="0" applyFont="1" applyFill="1"/>
    <xf numFmtId="0" fontId="0" fillId="3" borderId="0" xfId="0" applyFill="1"/>
    <xf numFmtId="0" fontId="5" fillId="4" borderId="0" xfId="0" applyFont="1" applyFill="1"/>
    <xf numFmtId="164" fontId="1" fillId="0" borderId="0" xfId="0" applyNumberFormat="1" applyFont="1"/>
    <xf numFmtId="164" fontId="1" fillId="3" borderId="0" xfId="0" applyNumberFormat="1" applyFont="1" applyFill="1"/>
    <xf numFmtId="165" fontId="0" fillId="0" borderId="0" xfId="0" applyNumberFormat="1"/>
    <xf numFmtId="165" fontId="0" fillId="3" borderId="0" xfId="0" applyNumberFormat="1" applyFill="1"/>
    <xf numFmtId="0" fontId="6" fillId="0" borderId="0" xfId="0" applyFont="1"/>
  </cellXfs>
  <cellStyles count="4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171981030780243"/>
          <c:w val="0.720589998403086"/>
          <c:h val="0.94254190618810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ChiSquare_n!$H$3</c:f>
              <c:strCache>
                <c:ptCount val="1"/>
                <c:pt idx="0">
                  <c:v>Chi2(n=2)-PDF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ChiSquare_n!$H$4:$H$100</c:f>
              <c:numCache>
                <c:formatCode>0.000000</c:formatCode>
                <c:ptCount val="97"/>
                <c:pt idx="0">
                  <c:v>0.0</c:v>
                </c:pt>
                <c:pt idx="1">
                  <c:v>0.5</c:v>
                </c:pt>
                <c:pt idx="2">
                  <c:v>0.45241870901798</c:v>
                </c:pt>
                <c:pt idx="3">
                  <c:v>0.409365376538991</c:v>
                </c:pt>
                <c:pt idx="4">
                  <c:v>0.370409110340859</c:v>
                </c:pt>
                <c:pt idx="5">
                  <c:v>0.33516002301782</c:v>
                </c:pt>
                <c:pt idx="6">
                  <c:v>0.303265329856317</c:v>
                </c:pt>
                <c:pt idx="7">
                  <c:v>0.274405818047013</c:v>
                </c:pt>
                <c:pt idx="8">
                  <c:v>0.248292651895705</c:v>
                </c:pt>
                <c:pt idx="9">
                  <c:v>0.224664482058611</c:v>
                </c:pt>
                <c:pt idx="10">
                  <c:v>0.2032848298703</c:v>
                </c:pt>
                <c:pt idx="11">
                  <c:v>0.183939720585721</c:v>
                </c:pt>
                <c:pt idx="12">
                  <c:v>0.16643554184904</c:v>
                </c:pt>
                <c:pt idx="13">
                  <c:v>0.150597105956101</c:v>
                </c:pt>
                <c:pt idx="14">
                  <c:v>0.136265896517006</c:v>
                </c:pt>
                <c:pt idx="15">
                  <c:v>0.123298481970803</c:v>
                </c:pt>
                <c:pt idx="16">
                  <c:v>0.111565080074215</c:v>
                </c:pt>
                <c:pt idx="17">
                  <c:v>0.100948258997328</c:v>
                </c:pt>
                <c:pt idx="18">
                  <c:v>0.0913417620263673</c:v>
                </c:pt>
                <c:pt idx="19">
                  <c:v>0.0826494441107932</c:v>
                </c:pt>
                <c:pt idx="20">
                  <c:v>0.0747843096113175</c:v>
                </c:pt>
                <c:pt idx="21">
                  <c:v>0.0676676416183063</c:v>
                </c:pt>
                <c:pt idx="22">
                  <c:v>0.0612282141264909</c:v>
                </c:pt>
                <c:pt idx="23">
                  <c:v>0.0554015791811669</c:v>
                </c:pt>
                <c:pt idx="24">
                  <c:v>0.0501294218614018</c:v>
                </c:pt>
                <c:pt idx="25">
                  <c:v>0.0453589766447062</c:v>
                </c:pt>
                <c:pt idx="26">
                  <c:v>0.0410424993119494</c:v>
                </c:pt>
                <c:pt idx="27">
                  <c:v>0.0371367891071669</c:v>
                </c:pt>
                <c:pt idx="28">
                  <c:v>0.0336027563698748</c:v>
                </c:pt>
                <c:pt idx="29">
                  <c:v>0.0304050313126089</c:v>
                </c:pt>
                <c:pt idx="30">
                  <c:v>0.0275116100282036</c:v>
                </c:pt>
                <c:pt idx="31">
                  <c:v>0.0248935341839319</c:v>
                </c:pt>
                <c:pt idx="32">
                  <c:v>0.0225246011967789</c:v>
                </c:pt>
                <c:pt idx="33">
                  <c:v>0.0203811019891831</c:v>
                </c:pt>
                <c:pt idx="34">
                  <c:v>0.01844158370062</c:v>
                </c:pt>
                <c:pt idx="35">
                  <c:v>0.016686634980163</c:v>
                </c:pt>
                <c:pt idx="36">
                  <c:v>0.0150986917111592</c:v>
                </c:pt>
                <c:pt idx="37">
                  <c:v>0.0136618612236463</c:v>
                </c:pt>
                <c:pt idx="38">
                  <c:v>0.0123617632351697</c:v>
                </c:pt>
                <c:pt idx="39">
                  <c:v>0.0111853859280828</c:v>
                </c:pt>
                <c:pt idx="40">
                  <c:v>0.0101209557229022</c:v>
                </c:pt>
                <c:pt idx="41">
                  <c:v>0.00915781944436707</c:v>
                </c:pt>
                <c:pt idx="42">
                  <c:v>0.00828633770088061</c:v>
                </c:pt>
                <c:pt idx="43">
                  <c:v>0.00749778841023884</c:v>
                </c:pt>
                <c:pt idx="44">
                  <c:v>0.00678427950610046</c:v>
                </c:pt>
                <c:pt idx="45">
                  <c:v>0.00613866995153422</c:v>
                </c:pt>
                <c:pt idx="46">
                  <c:v>0.00555449826912115</c:v>
                </c:pt>
                <c:pt idx="47">
                  <c:v>0.00502591787231679</c:v>
                </c:pt>
                <c:pt idx="48">
                  <c:v>0.00454763855084791</c:v>
                </c:pt>
                <c:pt idx="49">
                  <c:v>0.00411487352451002</c:v>
                </c:pt>
                <c:pt idx="50">
                  <c:v>0.00372329153546217</c:v>
                </c:pt>
                <c:pt idx="51">
                  <c:v>0.00336897349954274</c:v>
                </c:pt>
                <c:pt idx="52">
                  <c:v>0.00304837328275782</c:v>
                </c:pt>
                <c:pt idx="53">
                  <c:v>0.00275828221038039</c:v>
                </c:pt>
                <c:pt idx="54">
                  <c:v>0.00249579695345511</c:v>
                </c:pt>
                <c:pt idx="55">
                  <c:v>0.00225829047130634</c:v>
                </c:pt>
                <c:pt idx="56">
                  <c:v>0.00204338571923204</c:v>
                </c:pt>
                <c:pt idx="57">
                  <c:v>0.00184893185824147</c:v>
                </c:pt>
                <c:pt idx="58">
                  <c:v>0.00167298272873564</c:v>
                </c:pt>
                <c:pt idx="59">
                  <c:v>0.00151377737268791</c:v>
                </c:pt>
                <c:pt idx="60">
                  <c:v>0.00136972240938419</c:v>
                </c:pt>
                <c:pt idx="61">
                  <c:v>0.00123937608833319</c:v>
                </c:pt>
                <c:pt idx="62">
                  <c:v>0.00112143385974291</c:v>
                </c:pt>
                <c:pt idx="63">
                  <c:v>0.00101471531814787</c:v>
                </c:pt>
                <c:pt idx="64">
                  <c:v>0.000918152388514459</c:v>
                </c:pt>
                <c:pt idx="65">
                  <c:v>0.000830778636586973</c:v>
                </c:pt>
                <c:pt idx="66">
                  <c:v>0.000751719596488791</c:v>
                </c:pt>
                <c:pt idx="67">
                  <c:v>0.000680184018773952</c:v>
                </c:pt>
                <c:pt idx="68">
                  <c:v>0.000615455951336745</c:v>
                </c:pt>
                <c:pt idx="69">
                  <c:v>0.000556887573922406</c:v>
                </c:pt>
                <c:pt idx="70">
                  <c:v>0.00050389271452426</c:v>
                </c:pt>
                <c:pt idx="71">
                  <c:v>0.000455940982777262</c:v>
                </c:pt>
                <c:pt idx="72">
                  <c:v>0.000412552461632956</c:v>
                </c:pt>
                <c:pt idx="73">
                  <c:v>0.000373292904188343</c:v>
                </c:pt>
                <c:pt idx="74">
                  <c:v>0.000337769387596925</c:v>
                </c:pt>
                <c:pt idx="75">
                  <c:v>0.000305626380564789</c:v>
                </c:pt>
                <c:pt idx="76">
                  <c:v>0.00027654218507392</c:v>
                </c:pt>
                <c:pt idx="77">
                  <c:v>0.000250225716720308</c:v>
                </c:pt>
                <c:pt idx="78">
                  <c:v>0.000226413591443401</c:v>
                </c:pt>
                <c:pt idx="79">
                  <c:v>0.000204867489489896</c:v>
                </c:pt>
                <c:pt idx="80">
                  <c:v>0.000185371770229546</c:v>
                </c:pt>
                <c:pt idx="81">
                  <c:v>0.000167731313951258</c:v>
                </c:pt>
                <c:pt idx="82">
                  <c:v>0.000151769569039435</c:v>
                </c:pt>
                <c:pt idx="83">
                  <c:v>0.000137326784986073</c:v>
                </c:pt>
                <c:pt idx="84">
                  <c:v>0.000124258413553978</c:v>
                </c:pt>
                <c:pt idx="85">
                  <c:v>0.000112433662089426</c:v>
                </c:pt>
                <c:pt idx="86">
                  <c:v>0.000101734184505323</c:v>
                </c:pt>
                <c:pt idx="87">
                  <c:v>9.2052896833791E-5</c:v>
                </c:pt>
                <c:pt idx="88">
                  <c:v>8.3292905493818E-5</c:v>
                </c:pt>
                <c:pt idx="89">
                  <c:v>7.53665375477394E-5</c:v>
                </c:pt>
                <c:pt idx="90">
                  <c:v>6.81944632410068E-5</c:v>
                </c:pt>
                <c:pt idx="91">
                  <c:v>6.17049020433408E-5</c:v>
                </c:pt>
                <c:pt idx="92">
                  <c:v>5.58329042450583E-5</c:v>
                </c:pt>
                <c:pt idx="93">
                  <c:v>5.05197009185475E-5</c:v>
                </c:pt>
                <c:pt idx="94">
                  <c:v>4.57121157390875E-5</c:v>
                </c:pt>
                <c:pt idx="95">
                  <c:v>4.13620327783168E-5</c:v>
                </c:pt>
                <c:pt idx="96">
                  <c:v>3.7425914943851E-5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ChiSquare_n!$K$3</c:f>
              <c:strCache>
                <c:ptCount val="1"/>
                <c:pt idx="0">
                  <c:v>Chi2(n=3)-PDF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ChiSquare_n!$K$4:$K$100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0.161434225871536</c:v>
                </c:pt>
                <c:pt idx="3">
                  <c:v>0.206576618986911</c:v>
                </c:pt>
                <c:pt idx="4">
                  <c:v>0.228927173630456</c:v>
                </c:pt>
                <c:pt idx="5">
                  <c:v>0.239186831934564</c:v>
                </c:pt>
                <c:pt idx="6">
                  <c:v>0.241970724519143</c:v>
                </c:pt>
                <c:pt idx="7">
                  <c:v>0.23984131668208</c:v>
                </c:pt>
                <c:pt idx="8">
                  <c:v>0.234405580283117</c:v>
                </c:pt>
                <c:pt idx="9">
                  <c:v>0.226743304489958</c:v>
                </c:pt>
                <c:pt idx="10">
                  <c:v>0.217611220451769</c:v>
                </c:pt>
                <c:pt idx="11">
                  <c:v>0.207553748710297</c:v>
                </c:pt>
                <c:pt idx="12">
                  <c:v>0.196968816820914</c:v>
                </c:pt>
                <c:pt idx="13">
                  <c:v>0.186149686176623</c:v>
                </c:pt>
                <c:pt idx="14">
                  <c:v>0.175312915942402</c:v>
                </c:pt>
                <c:pt idx="15">
                  <c:v>0.164617805107125</c:v>
                </c:pt>
                <c:pt idx="16">
                  <c:v>0.154180329803769</c:v>
                </c:pt>
                <c:pt idx="17">
                  <c:v>0.144083378688615</c:v>
                </c:pt>
                <c:pt idx="18">
                  <c:v>0.134384415006015</c:v>
                </c:pt>
                <c:pt idx="19">
                  <c:v>0.125121300217698</c:v>
                </c:pt>
                <c:pt idx="20">
                  <c:v>0.116316773951229</c:v>
                </c:pt>
                <c:pt idx="21">
                  <c:v>0.107981933026376</c:v>
                </c:pt>
                <c:pt idx="22">
                  <c:v>0.100118952936353</c:v>
                </c:pt>
                <c:pt idx="23">
                  <c:v>0.0927232283077328</c:v>
                </c:pt>
                <c:pt idx="24">
                  <c:v>0.0857850627508582</c:v>
                </c:pt>
                <c:pt idx="25">
                  <c:v>0.0792910059942985</c:v>
                </c:pt>
                <c:pt idx="26">
                  <c:v>0.0732249128096324</c:v>
                </c:pt>
                <c:pt idx="27">
                  <c:v>0.0675687811162416</c:v>
                </c:pt>
                <c:pt idx="28">
                  <c:v>0.0623034139322547</c:v>
                </c:pt>
                <c:pt idx="29">
                  <c:v>0.0574089402480762</c:v>
                </c:pt>
                <c:pt idx="30">
                  <c:v>0.0528652225816342</c:v>
                </c:pt>
                <c:pt idx="31">
                  <c:v>0.0486521733296414</c:v>
                </c:pt>
                <c:pt idx="32">
                  <c:v>0.044749997631925</c:v>
                </c:pt>
                <c:pt idx="33">
                  <c:v>0.0411393770108141</c:v>
                </c:pt>
                <c:pt idx="34">
                  <c:v>0.0378016053119413</c:v>
                </c:pt>
                <c:pt idx="35">
                  <c:v>0.0347186862921448</c:v>
                </c:pt>
                <c:pt idx="36">
                  <c:v>0.0318734004514812</c:v>
                </c:pt>
                <c:pt idx="37">
                  <c:v>0.0292493472967676</c:v>
                </c:pt>
                <c:pt idx="38">
                  <c:v>0.0268309680826339</c:v>
                </c:pt>
                <c:pt idx="39">
                  <c:v>0.0246035531481163</c:v>
                </c:pt>
                <c:pt idx="40">
                  <c:v>0.022553237209896</c:v>
                </c:pt>
                <c:pt idx="41">
                  <c:v>0.020666985354092</c:v>
                </c:pt>
                <c:pt idx="42">
                  <c:v>0.0189325719608034</c:v>
                </c:pt>
                <c:pt idx="43">
                  <c:v>0.0173385543785073</c:v>
                </c:pt>
                <c:pt idx="44">
                  <c:v>0.0158742428222843</c:v>
                </c:pt>
                <c:pt idx="45">
                  <c:v>0.0145296676872599</c:v>
                </c:pt>
                <c:pt idx="46">
                  <c:v>0.013295545235814</c:v>
                </c:pt>
                <c:pt idx="47">
                  <c:v>0.0121632424252203</c:v>
                </c:pt>
                <c:pt idx="48">
                  <c:v>0.0111247414842936</c:v>
                </c:pt>
                <c:pt idx="49">
                  <c:v>0.0101726047174813</c:v>
                </c:pt>
                <c:pt idx="50">
                  <c:v>0.00929993990783977</c:v>
                </c:pt>
                <c:pt idx="51">
                  <c:v>0.00850036660252036</c:v>
                </c:pt>
                <c:pt idx="52">
                  <c:v>0.0077679834925014</c:v>
                </c:pt>
                <c:pt idx="53">
                  <c:v>0.00709733703962372</c:v>
                </c:pt>
                <c:pt idx="54">
                  <c:v>0.00648339145628906</c:v>
                </c:pt>
                <c:pt idx="55">
                  <c:v>0.00592150010459229</c:v>
                </c:pt>
                <c:pt idx="56">
                  <c:v>0.00540737835063386</c:v>
                </c:pt>
                <c:pt idx="57">
                  <c:v>0.00493707788500465</c:v>
                </c:pt>
                <c:pt idx="58">
                  <c:v>0.00450696250087571</c:v>
                </c:pt>
                <c:pt idx="59">
                  <c:v>0.00411368530585881</c:v>
                </c:pt>
                <c:pt idx="60">
                  <c:v>0.00375416733208125</c:v>
                </c:pt>
                <c:pt idx="61">
                  <c:v>0.00342557750011028</c:v>
                </c:pt>
                <c:pt idx="62">
                  <c:v>0.00312531388594632</c:v>
                </c:pt>
                <c:pt idx="63">
                  <c:v>0.00285098623583981</c:v>
                </c:pt>
                <c:pt idx="64">
                  <c:v>0.00260039967081021</c:v>
                </c:pt>
                <c:pt idx="65">
                  <c:v>0.00237153952115094</c:v>
                </c:pt>
                <c:pt idx="66">
                  <c:v>0.00216255723063718</c:v>
                </c:pt>
                <c:pt idx="67">
                  <c:v>0.00197175727040315</c:v>
                </c:pt>
                <c:pt idx="68">
                  <c:v>0.00179758500334534</c:v>
                </c:pt>
                <c:pt idx="69">
                  <c:v>0.00163861544129351</c:v>
                </c:pt>
                <c:pt idx="70">
                  <c:v>0.00149354283895121</c:v>
                </c:pt>
                <c:pt idx="71">
                  <c:v>0.00136117107064281</c:v>
                </c:pt>
                <c:pt idx="72">
                  <c:v>0.00124040473813477</c:v>
                </c:pt>
                <c:pt idx="73">
                  <c:v>0.00113024096015636</c:v>
                </c:pt>
                <c:pt idx="74">
                  <c:v>0.0010297617966782</c:v>
                </c:pt>
                <c:pt idx="75">
                  <c:v>0.000938127263470316</c:v>
                </c:pt>
                <c:pt idx="76">
                  <c:v>0.00085456889492142</c:v>
                </c:pt>
                <c:pt idx="77">
                  <c:v>0.00077838381553062</c:v>
                </c:pt>
                <c:pt idx="78">
                  <c:v>0.000708929282859501</c:v>
                </c:pt>
                <c:pt idx="79">
                  <c:v>0.000645617667041581</c:v>
                </c:pt>
                <c:pt idx="80">
                  <c:v>0.000587911834174474</c:v>
                </c:pt>
                <c:pt idx="81">
                  <c:v>0.000535320903059548</c:v>
                </c:pt>
                <c:pt idx="82">
                  <c:v>0.000487396346798465</c:v>
                </c:pt>
                <c:pt idx="83">
                  <c:v>0.000443728412702223</c:v>
                </c:pt>
                <c:pt idx="84">
                  <c:v>0.000403942835814423</c:v>
                </c:pt>
                <c:pt idx="85">
                  <c:v>0.000367697823096321</c:v>
                </c:pt>
                <c:pt idx="86">
                  <c:v>0.000334681286967668</c:v>
                </c:pt>
                <c:pt idx="87">
                  <c:v>0.000304608308446346</c:v>
                </c:pt>
                <c:pt idx="88">
                  <c:v>0.000277218811583874</c:v>
                </c:pt>
                <c:pt idx="89">
                  <c:v>0.000252275432256195</c:v>
                </c:pt>
                <c:pt idx="90">
                  <c:v>0.000229561565643214</c:v>
                </c:pt>
                <c:pt idx="91">
                  <c:v>0.000208879577920125</c:v>
                </c:pt>
                <c:pt idx="92">
                  <c:v>0.000190049168792625</c:v>
                </c:pt>
                <c:pt idx="93">
                  <c:v>0.000172905872540657</c:v>
                </c:pt>
                <c:pt idx="94">
                  <c:v>0.000157299686195459</c:v>
                </c:pt>
                <c:pt idx="95">
                  <c:v>0.000143093814366474</c:v>
                </c:pt>
                <c:pt idx="96">
                  <c:v>0.000130163521062021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ChiSquare_n!$N$3</c:f>
              <c:strCache>
                <c:ptCount val="1"/>
                <c:pt idx="0">
                  <c:v>Chi2(n=4)-PDF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ChiSquare_n!$N$4:$N$100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0.045241870901798</c:v>
                </c:pt>
                <c:pt idx="3">
                  <c:v>0.0818730753077982</c:v>
                </c:pt>
                <c:pt idx="4">
                  <c:v>0.111122733102258</c:v>
                </c:pt>
                <c:pt idx="5">
                  <c:v>0.134064009207128</c:v>
                </c:pt>
                <c:pt idx="6">
                  <c:v>0.151632664928158</c:v>
                </c:pt>
                <c:pt idx="7">
                  <c:v>0.164643490828208</c:v>
                </c:pt>
                <c:pt idx="8">
                  <c:v>0.173804856326993</c:v>
                </c:pt>
                <c:pt idx="9">
                  <c:v>0.179731585646889</c:v>
                </c:pt>
                <c:pt idx="10">
                  <c:v>0.18295634688327</c:v>
                </c:pt>
                <c:pt idx="11">
                  <c:v>0.183939720585721</c:v>
                </c:pt>
                <c:pt idx="12">
                  <c:v>0.183079096033944</c:v>
                </c:pt>
                <c:pt idx="13">
                  <c:v>0.180716527147321</c:v>
                </c:pt>
                <c:pt idx="14">
                  <c:v>0.177145665472108</c:v>
                </c:pt>
                <c:pt idx="15">
                  <c:v>0.172617874759125</c:v>
                </c:pt>
                <c:pt idx="16">
                  <c:v>0.167347620111322</c:v>
                </c:pt>
                <c:pt idx="17">
                  <c:v>0.161517214395724</c:v>
                </c:pt>
                <c:pt idx="18">
                  <c:v>0.155280995444824</c:v>
                </c:pt>
                <c:pt idx="19">
                  <c:v>0.148768999399428</c:v>
                </c:pt>
                <c:pt idx="20">
                  <c:v>0.142090188261503</c:v>
                </c:pt>
                <c:pt idx="21">
                  <c:v>0.135335283236613</c:v>
                </c:pt>
                <c:pt idx="22">
                  <c:v>0.128579249665631</c:v>
                </c:pt>
                <c:pt idx="23">
                  <c:v>0.121883474198567</c:v>
                </c:pt>
                <c:pt idx="24">
                  <c:v>0.115297670281224</c:v>
                </c:pt>
                <c:pt idx="25">
                  <c:v>0.108861543947295</c:v>
                </c:pt>
                <c:pt idx="26">
                  <c:v>0.102606248279873</c:v>
                </c:pt>
                <c:pt idx="27">
                  <c:v>0.096555651678634</c:v>
                </c:pt>
                <c:pt idx="28">
                  <c:v>0.0907274421986621</c:v>
                </c:pt>
                <c:pt idx="29">
                  <c:v>0.0851340876753051</c:v>
                </c:pt>
                <c:pt idx="30">
                  <c:v>0.0797836690817904</c:v>
                </c:pt>
                <c:pt idx="31">
                  <c:v>0.0746806025517958</c:v>
                </c:pt>
                <c:pt idx="32">
                  <c:v>0.0698262637100145</c:v>
                </c:pt>
                <c:pt idx="33">
                  <c:v>0.0652195263653859</c:v>
                </c:pt>
                <c:pt idx="34">
                  <c:v>0.0608572262120459</c:v>
                </c:pt>
                <c:pt idx="35">
                  <c:v>0.0567345589325543</c:v>
                </c:pt>
                <c:pt idx="36">
                  <c:v>0.0528454209890573</c:v>
                </c:pt>
                <c:pt idx="37">
                  <c:v>0.0491827004051265</c:v>
                </c:pt>
                <c:pt idx="38">
                  <c:v>0.0457385239701278</c:v>
                </c:pt>
                <c:pt idx="39">
                  <c:v>0.0425044665267146</c:v>
                </c:pt>
                <c:pt idx="40">
                  <c:v>0.0394717273193185</c:v>
                </c:pt>
                <c:pt idx="41">
                  <c:v>0.0366312777774683</c:v>
                </c:pt>
                <c:pt idx="42">
                  <c:v>0.0339739845736105</c:v>
                </c:pt>
                <c:pt idx="43">
                  <c:v>0.0314907113230032</c:v>
                </c:pt>
                <c:pt idx="44">
                  <c:v>0.029172401876232</c:v>
                </c:pt>
                <c:pt idx="45">
                  <c:v>0.0270101477867506</c:v>
                </c:pt>
                <c:pt idx="46">
                  <c:v>0.0249952422110452</c:v>
                </c:pt>
                <c:pt idx="47">
                  <c:v>0.0231192222126572</c:v>
                </c:pt>
                <c:pt idx="48">
                  <c:v>0.0213739011889852</c:v>
                </c:pt>
                <c:pt idx="49">
                  <c:v>0.0197513929176481</c:v>
                </c:pt>
                <c:pt idx="50">
                  <c:v>0.0182441285237647</c:v>
                </c:pt>
                <c:pt idx="51">
                  <c:v>0.0168448674977137</c:v>
                </c:pt>
                <c:pt idx="52">
                  <c:v>0.0155467037420649</c:v>
                </c:pt>
                <c:pt idx="53">
                  <c:v>0.014343067493978</c:v>
                </c:pt>
                <c:pt idx="54">
                  <c:v>0.0132277238533121</c:v>
                </c:pt>
                <c:pt idx="55">
                  <c:v>0.0121947685450542</c:v>
                </c:pt>
                <c:pt idx="56">
                  <c:v>0.0112386214557762</c:v>
                </c:pt>
                <c:pt idx="57">
                  <c:v>0.0103540184061522</c:v>
                </c:pt>
                <c:pt idx="58">
                  <c:v>0.00953600155379316</c:v>
                </c:pt>
                <c:pt idx="59">
                  <c:v>0.0087799087615899</c:v>
                </c:pt>
                <c:pt idx="60">
                  <c:v>0.00808136221536672</c:v>
                </c:pt>
                <c:pt idx="61">
                  <c:v>0.00743625652999911</c:v>
                </c:pt>
                <c:pt idx="62">
                  <c:v>0.00684074654443173</c:v>
                </c:pt>
                <c:pt idx="63">
                  <c:v>0.00629123497251681</c:v>
                </c:pt>
                <c:pt idx="64">
                  <c:v>0.00578436004764109</c:v>
                </c:pt>
                <c:pt idx="65">
                  <c:v>0.00531698327415662</c:v>
                </c:pt>
                <c:pt idx="66">
                  <c:v>0.00488617737717714</c:v>
                </c:pt>
                <c:pt idx="67">
                  <c:v>0.00448921452390808</c:v>
                </c:pt>
                <c:pt idx="68">
                  <c:v>0.00412355487395619</c:v>
                </c:pt>
                <c:pt idx="69">
                  <c:v>0.00378683550267236</c:v>
                </c:pt>
                <c:pt idx="70">
                  <c:v>0.00347685973021739</c:v>
                </c:pt>
                <c:pt idx="71">
                  <c:v>0.00319158687944083</c:v>
                </c:pt>
                <c:pt idx="72">
                  <c:v>0.00292912247759398</c:v>
                </c:pt>
                <c:pt idx="73">
                  <c:v>0.00268770891015607</c:v>
                </c:pt>
                <c:pt idx="74">
                  <c:v>0.00246571652945755</c:v>
                </c:pt>
                <c:pt idx="75">
                  <c:v>0.00226163521617944</c:v>
                </c:pt>
                <c:pt idx="76">
                  <c:v>0.00207406638805439</c:v>
                </c:pt>
                <c:pt idx="77">
                  <c:v>0.00190171544707434</c:v>
                </c:pt>
                <c:pt idx="78">
                  <c:v>0.00174338465411419</c:v>
                </c:pt>
                <c:pt idx="79">
                  <c:v>0.00159796641802118</c:v>
                </c:pt>
                <c:pt idx="80">
                  <c:v>0.00146443698481341</c:v>
                </c:pt>
                <c:pt idx="81">
                  <c:v>0.00134185051161006</c:v>
                </c:pt>
                <c:pt idx="82">
                  <c:v>0.00122933350921942</c:v>
                </c:pt>
                <c:pt idx="83">
                  <c:v>0.0011260796368858</c:v>
                </c:pt>
                <c:pt idx="84">
                  <c:v>0.00103134483249801</c:v>
                </c:pt>
                <c:pt idx="85">
                  <c:v>0.000944442761551174</c:v>
                </c:pt>
                <c:pt idx="86">
                  <c:v>0.000864740568295248</c:v>
                </c:pt>
                <c:pt idx="87">
                  <c:v>0.0007916549127706</c:v>
                </c:pt>
                <c:pt idx="88">
                  <c:v>0.000724648277796215</c:v>
                </c:pt>
                <c:pt idx="89">
                  <c:v>0.000663225530420106</c:v>
                </c:pt>
                <c:pt idx="90">
                  <c:v>0.000606930722844959</c:v>
                </c:pt>
                <c:pt idx="91">
                  <c:v>0.000555344118390066</c:v>
                </c:pt>
                <c:pt idx="92">
                  <c:v>0.00050807942863003</c:v>
                </c:pt>
                <c:pt idx="93">
                  <c:v>0.000464781248450636</c:v>
                </c:pt>
                <c:pt idx="94">
                  <c:v>0.000425122676373513</c:v>
                </c:pt>
                <c:pt idx="95">
                  <c:v>0.000388803108116178</c:v>
                </c:pt>
                <c:pt idx="96">
                  <c:v>0.000355546191966583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ChiSquare_n!$Q$3</c:f>
              <c:strCache>
                <c:ptCount val="1"/>
                <c:pt idx="0">
                  <c:v>Chi2(n=5)-PDF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ChiSquare_n!$Q$4:$Q$100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0.0107622817247691</c:v>
                </c:pt>
                <c:pt idx="3">
                  <c:v>0.0275435491982548</c:v>
                </c:pt>
                <c:pt idx="4">
                  <c:v>0.0457854347260912</c:v>
                </c:pt>
                <c:pt idx="5">
                  <c:v>0.0637831551825504</c:v>
                </c:pt>
                <c:pt idx="6">
                  <c:v>0.0806569081730478</c:v>
                </c:pt>
                <c:pt idx="7">
                  <c:v>0.0959365266728319</c:v>
                </c:pt>
                <c:pt idx="8">
                  <c:v>0.109389270798788</c:v>
                </c:pt>
                <c:pt idx="9">
                  <c:v>0.120929762394644</c:v>
                </c:pt>
                <c:pt idx="10">
                  <c:v>0.130566732271061</c:v>
                </c:pt>
                <c:pt idx="11">
                  <c:v>0.138369165806865</c:v>
                </c:pt>
                <c:pt idx="12">
                  <c:v>0.144443799002004</c:v>
                </c:pt>
                <c:pt idx="13">
                  <c:v>0.148919748941298</c:v>
                </c:pt>
                <c:pt idx="14">
                  <c:v>0.151937860483415</c:v>
                </c:pt>
                <c:pt idx="15">
                  <c:v>0.15364328476665</c:v>
                </c:pt>
                <c:pt idx="16">
                  <c:v>0.154180329803769</c:v>
                </c:pt>
                <c:pt idx="17">
                  <c:v>0.153688937267856</c:v>
                </c:pt>
                <c:pt idx="18">
                  <c:v>0.152302337006817</c:v>
                </c:pt>
                <c:pt idx="19">
                  <c:v>0.150145560261238</c:v>
                </c:pt>
                <c:pt idx="20">
                  <c:v>0.147334580338223</c:v>
                </c:pt>
                <c:pt idx="21">
                  <c:v>0.143975910701835</c:v>
                </c:pt>
                <c:pt idx="22">
                  <c:v>0.140166534110895</c:v>
                </c:pt>
                <c:pt idx="23">
                  <c:v>0.135994068184675</c:v>
                </c:pt>
                <c:pt idx="24">
                  <c:v>0.131537096217983</c:v>
                </c:pt>
                <c:pt idx="25">
                  <c:v>0.126865609590878</c:v>
                </c:pt>
                <c:pt idx="26">
                  <c:v>0.122041521349387</c:v>
                </c:pt>
                <c:pt idx="27">
                  <c:v>0.117119220601485</c:v>
                </c:pt>
                <c:pt idx="28">
                  <c:v>0.112146145078058</c:v>
                </c:pt>
                <c:pt idx="29">
                  <c:v>0.107163355129742</c:v>
                </c:pt>
                <c:pt idx="30">
                  <c:v>0.10220609699116</c:v>
                </c:pt>
                <c:pt idx="31">
                  <c:v>0.0973043466592829</c:v>
                </c:pt>
                <c:pt idx="32">
                  <c:v>0.0924833284393117</c:v>
                </c:pt>
                <c:pt idx="33">
                  <c:v>0.0877640042897368</c:v>
                </c:pt>
                <c:pt idx="34">
                  <c:v>0.0831635316862709</c:v>
                </c:pt>
                <c:pt idx="35">
                  <c:v>0.0786956889288616</c:v>
                </c:pt>
                <c:pt idx="36">
                  <c:v>0.0743712677201228</c:v>
                </c:pt>
                <c:pt idx="37">
                  <c:v>0.0701984335122424</c:v>
                </c:pt>
                <c:pt idx="38">
                  <c:v>0.0661830546038304</c:v>
                </c:pt>
                <c:pt idx="39">
                  <c:v>0.0623290013085612</c:v>
                </c:pt>
                <c:pt idx="40">
                  <c:v>0.0586384167457295</c:v>
                </c:pt>
                <c:pt idx="41">
                  <c:v>0.0551119609442454</c:v>
                </c:pt>
                <c:pt idx="42">
                  <c:v>0.0517490300261959</c:v>
                </c:pt>
                <c:pt idx="43">
                  <c:v>0.0485479522598205</c:v>
                </c:pt>
                <c:pt idx="44">
                  <c:v>0.045506162757215</c:v>
                </c:pt>
                <c:pt idx="45">
                  <c:v>0.0426203585492958</c:v>
                </c:pt>
                <c:pt idx="46">
                  <c:v>0.0398866357074421</c:v>
                </c:pt>
                <c:pt idx="47">
                  <c:v>0.037300610104009</c:v>
                </c:pt>
                <c:pt idx="48">
                  <c:v>0.0348575233174532</c:v>
                </c:pt>
                <c:pt idx="49">
                  <c:v>0.0325523350959402</c:v>
                </c:pt>
                <c:pt idx="50">
                  <c:v>0.0303798036989432</c:v>
                </c:pt>
                <c:pt idx="51">
                  <c:v>0.0283345553417345</c:v>
                </c:pt>
                <c:pt idx="52">
                  <c:v>0.0264111438745047</c:v>
                </c:pt>
                <c:pt idx="53">
                  <c:v>0.0246041017373622</c:v>
                </c:pt>
                <c:pt idx="54">
                  <c:v>0.0229079831455547</c:v>
                </c:pt>
                <c:pt idx="55">
                  <c:v>0.0213174003765322</c:v>
                </c:pt>
                <c:pt idx="56">
                  <c:v>0.0198270539523241</c:v>
                </c:pt>
                <c:pt idx="57">
                  <c:v>0.0184317574373507</c:v>
                </c:pt>
                <c:pt idx="58">
                  <c:v>0.0171264575033277</c:v>
                </c:pt>
                <c:pt idx="59">
                  <c:v>0.0159062498493207</c:v>
                </c:pt>
                <c:pt idx="60">
                  <c:v>0.0147663915061862</c:v>
                </c:pt>
                <c:pt idx="61">
                  <c:v>0.0137023100004411</c:v>
                </c:pt>
                <c:pt idx="62">
                  <c:v>0.0127096098028483</c:v>
                </c:pt>
                <c:pt idx="63">
                  <c:v>0.0117840764414712</c:v>
                </c:pt>
                <c:pt idx="64">
                  <c:v>0.0109216786174029</c:v>
                </c:pt>
                <c:pt idx="65">
                  <c:v>0.0101185686235773</c:v>
                </c:pt>
                <c:pt idx="66">
                  <c:v>0.00937108133276111</c:v>
                </c:pt>
                <c:pt idx="67">
                  <c:v>0.00867573198977385</c:v>
                </c:pt>
                <c:pt idx="68">
                  <c:v>0.00802921301494249</c:v>
                </c:pt>
                <c:pt idx="69">
                  <c:v>0.00742839000053059</c:v>
                </c:pt>
                <c:pt idx="70">
                  <c:v>0.00687029705917556</c:v>
                </c:pt>
                <c:pt idx="71">
                  <c:v>0.00635213166299979</c:v>
                </c:pt>
                <c:pt idx="72">
                  <c:v>0.0058712490938379</c:v>
                </c:pt>
                <c:pt idx="73">
                  <c:v>0.00542515660875051</c:v>
                </c:pt>
                <c:pt idx="74">
                  <c:v>0.00501150741050058</c:v>
                </c:pt>
                <c:pt idx="75">
                  <c:v>0.00462809449978688</c:v>
                </c:pt>
                <c:pt idx="76">
                  <c:v>0.00427284447460709</c:v>
                </c:pt>
                <c:pt idx="77">
                  <c:v>0.0039438113320218</c:v>
                </c:pt>
                <c:pt idx="78">
                  <c:v>0.00363917031867877</c:v>
                </c:pt>
                <c:pt idx="79">
                  <c:v>0.00335721186861622</c:v>
                </c:pt>
                <c:pt idx="80">
                  <c:v>0.00309633565998556</c:v>
                </c:pt>
                <c:pt idx="81">
                  <c:v>0.00285504481631758</c:v>
                </c:pt>
                <c:pt idx="82">
                  <c:v>0.0026319402727117</c:v>
                </c:pt>
                <c:pt idx="83">
                  <c:v>0.00242571532277215</c:v>
                </c:pt>
                <c:pt idx="84">
                  <c:v>0.00223515035817314</c:v>
                </c:pt>
                <c:pt idx="85">
                  <c:v>0.0020591078093394</c:v>
                </c:pt>
                <c:pt idx="86">
                  <c:v>0.00189652729281678</c:v>
                </c:pt>
                <c:pt idx="87">
                  <c:v>0.00174642096842572</c:v>
                </c:pt>
                <c:pt idx="88">
                  <c:v>0.00160786910718647</c:v>
                </c:pt>
                <c:pt idx="89">
                  <c:v>0.00148001586923634</c:v>
                </c:pt>
                <c:pt idx="90">
                  <c:v>0.00136206528948307</c:v>
                </c:pt>
                <c:pt idx="91">
                  <c:v>0.00125327746752075</c:v>
                </c:pt>
                <c:pt idx="92">
                  <c:v>0.00115296495734193</c:v>
                </c:pt>
                <c:pt idx="93">
                  <c:v>0.00106048935158269</c:v>
                </c:pt>
                <c:pt idx="94">
                  <c:v>0.000975258054411843</c:v>
                </c:pt>
                <c:pt idx="95">
                  <c:v>0.000896721236696568</c:v>
                </c:pt>
                <c:pt idx="96">
                  <c:v>0.000824368966726132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ChiSquare_n!$E$3</c:f>
              <c:strCache>
                <c:ptCount val="1"/>
                <c:pt idx="0">
                  <c:v>Chi2(n=1)-PDF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ChiSquare_n!$E$4:$E$100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0.807171129357681</c:v>
                </c:pt>
                <c:pt idx="3">
                  <c:v>0.516441547467278</c:v>
                </c:pt>
                <c:pt idx="4">
                  <c:v>0.381545289384093</c:v>
                </c:pt>
                <c:pt idx="5">
                  <c:v>0.298983539918205</c:v>
                </c:pt>
                <c:pt idx="6">
                  <c:v>0.241970724519143</c:v>
                </c:pt>
                <c:pt idx="7">
                  <c:v>0.199867763901733</c:v>
                </c:pt>
                <c:pt idx="8">
                  <c:v>0.167432557345083</c:v>
                </c:pt>
                <c:pt idx="9">
                  <c:v>0.141714565306224</c:v>
                </c:pt>
                <c:pt idx="10">
                  <c:v>0.120895122473205</c:v>
                </c:pt>
                <c:pt idx="11">
                  <c:v>0.103776874355149</c:v>
                </c:pt>
                <c:pt idx="12">
                  <c:v>0.0895312803731429</c:v>
                </c:pt>
                <c:pt idx="13">
                  <c:v>0.0775623692402595</c:v>
                </c:pt>
                <c:pt idx="14">
                  <c:v>0.0674280445932315</c:v>
                </c:pt>
                <c:pt idx="15">
                  <c:v>0.0587920732525444</c:v>
                </c:pt>
                <c:pt idx="16">
                  <c:v>0.0513934432679231</c:v>
                </c:pt>
                <c:pt idx="17">
                  <c:v>0.0450260558401921</c:v>
                </c:pt>
                <c:pt idx="18">
                  <c:v>0.0395248279429456</c:v>
                </c:pt>
                <c:pt idx="19">
                  <c:v>0.0347559167271383</c:v>
                </c:pt>
                <c:pt idx="20">
                  <c:v>0.0306096773555865</c:v>
                </c:pt>
                <c:pt idx="21">
                  <c:v>0.026995483256594</c:v>
                </c:pt>
                <c:pt idx="22">
                  <c:v>0.023837845937227</c:v>
                </c:pt>
                <c:pt idx="23">
                  <c:v>0.0210734609790302</c:v>
                </c:pt>
                <c:pt idx="24">
                  <c:v>0.0186489266849692</c:v>
                </c:pt>
                <c:pt idx="25">
                  <c:v>0.0165189595821455</c:v>
                </c:pt>
                <c:pt idx="26">
                  <c:v>0.0146449825619265</c:v>
                </c:pt>
                <c:pt idx="27">
                  <c:v>0.012993996368508</c:v>
                </c:pt>
                <c:pt idx="28">
                  <c:v>0.0115376692467138</c:v>
                </c:pt>
                <c:pt idx="29">
                  <c:v>0.0102515964728707</c:v>
                </c:pt>
                <c:pt idx="30">
                  <c:v>0.00911469354855762</c:v>
                </c:pt>
                <c:pt idx="31">
                  <c:v>0.00810869555494023</c:v>
                </c:pt>
                <c:pt idx="32">
                  <c:v>0.00721774155353628</c:v>
                </c:pt>
                <c:pt idx="33">
                  <c:v>0.00642802765793969</c:v>
                </c:pt>
                <c:pt idx="34">
                  <c:v>0.00572751595635473</c:v>
                </c:pt>
                <c:pt idx="35">
                  <c:v>0.00510568916060953</c:v>
                </c:pt>
                <c:pt idx="36">
                  <c:v>0.00455334292164016</c:v>
                </c:pt>
                <c:pt idx="37">
                  <c:v>0.00406240934677328</c:v>
                </c:pt>
                <c:pt idx="38">
                  <c:v>0.00362580649765323</c:v>
                </c:pt>
                <c:pt idx="39">
                  <c:v>0.00323730962475214</c:v>
                </c:pt>
                <c:pt idx="40">
                  <c:v>0.00289144066793538</c:v>
                </c:pt>
                <c:pt idx="41">
                  <c:v>0.0025833731692615</c:v>
                </c:pt>
                <c:pt idx="42">
                  <c:v>0.00230885023912236</c:v>
                </c:pt>
                <c:pt idx="43">
                  <c:v>0.00206411361648896</c:v>
                </c:pt>
                <c:pt idx="44">
                  <c:v>0.00184584218863771</c:v>
                </c:pt>
                <c:pt idx="45">
                  <c:v>0.00165109860082499</c:v>
                </c:pt>
                <c:pt idx="46">
                  <c:v>0.00147728280397934</c:v>
                </c:pt>
                <c:pt idx="47">
                  <c:v>0.00132209156795873</c:v>
                </c:pt>
                <c:pt idx="48">
                  <c:v>0.00118348313662698</c:v>
                </c:pt>
                <c:pt idx="49">
                  <c:v>0.00105964632473764</c:v>
                </c:pt>
                <c:pt idx="50">
                  <c:v>0.000948973459983649</c:v>
                </c:pt>
                <c:pt idx="51">
                  <c:v>0.000850036660252036</c:v>
                </c:pt>
                <c:pt idx="52">
                  <c:v>0.000761567009068764</c:v>
                </c:pt>
                <c:pt idx="53">
                  <c:v>0.000682436253809973</c:v>
                </c:pt>
                <c:pt idx="54">
                  <c:v>0.000611640703423496</c:v>
                </c:pt>
                <c:pt idx="55">
                  <c:v>0.000548287046721509</c:v>
                </c:pt>
                <c:pt idx="56">
                  <c:v>0.000491579850057623</c:v>
                </c:pt>
                <c:pt idx="57">
                  <c:v>0.000440810525446843</c:v>
                </c:pt>
                <c:pt idx="58">
                  <c:v>0.000395347587796114</c:v>
                </c:pt>
                <c:pt idx="59">
                  <c:v>0.000354628043608519</c:v>
                </c:pt>
                <c:pt idx="60">
                  <c:v>0.000318149773905191</c:v>
                </c:pt>
                <c:pt idx="61">
                  <c:v>0.000285464791675857</c:v>
                </c:pt>
                <c:pt idx="62">
                  <c:v>0.000256173269339862</c:v>
                </c:pt>
                <c:pt idx="63">
                  <c:v>0.000229918244825791</c:v>
                </c:pt>
                <c:pt idx="64">
                  <c:v>0.000206380926254779</c:v>
                </c:pt>
                <c:pt idx="65">
                  <c:v>0.000185276525089917</c:v>
                </c:pt>
                <c:pt idx="66">
                  <c:v>0.00016635055620286</c:v>
                </c:pt>
                <c:pt idx="67">
                  <c:v>0.000149375550788118</c:v>
                </c:pt>
                <c:pt idx="68">
                  <c:v>0.00013414813457801</c:v>
                </c:pt>
                <c:pt idx="69">
                  <c:v>0.000120486429506876</c:v>
                </c:pt>
                <c:pt idx="70">
                  <c:v>0.000108227741952986</c:v>
                </c:pt>
                <c:pt idx="71">
                  <c:v>9.72265050459153E-5</c:v>
                </c:pt>
                <c:pt idx="72">
                  <c:v>8.73524463475191E-5</c:v>
                </c:pt>
                <c:pt idx="73">
                  <c:v>7.84889555664137E-5</c:v>
                </c:pt>
                <c:pt idx="74">
                  <c:v>7.0531629909466E-5</c:v>
                </c:pt>
                <c:pt idx="75">
                  <c:v>6.33869772615079E-5</c:v>
                </c:pt>
                <c:pt idx="76">
                  <c:v>5.69712596614281E-5</c:v>
                </c:pt>
                <c:pt idx="77">
                  <c:v>5.12094615480672E-5</c:v>
                </c:pt>
                <c:pt idx="78">
                  <c:v>4.60343690168508E-5</c:v>
                </c:pt>
                <c:pt idx="79">
                  <c:v>4.13857478872809E-5</c:v>
                </c:pt>
                <c:pt idx="80">
                  <c:v>3.72096097578782E-5</c:v>
                </c:pt>
                <c:pt idx="81">
                  <c:v>3.34575564412218E-5</c:v>
                </c:pt>
                <c:pt idx="82">
                  <c:v>3.00861942468189E-5</c:v>
                </c:pt>
                <c:pt idx="83">
                  <c:v>2.70566105306234E-5</c:v>
                </c:pt>
                <c:pt idx="84">
                  <c:v>2.43339057719532E-5</c:v>
                </c:pt>
                <c:pt idx="85">
                  <c:v>2.18867751843048E-5</c:v>
                </c:pt>
                <c:pt idx="86">
                  <c:v>1.96871345275099E-5</c:v>
                </c:pt>
                <c:pt idx="87">
                  <c:v>1.77097853747876E-5</c:v>
                </c:pt>
                <c:pt idx="88">
                  <c:v>1.59321156082686E-5</c:v>
                </c:pt>
                <c:pt idx="89">
                  <c:v>1.43338313781929E-5</c:v>
                </c:pt>
                <c:pt idx="90">
                  <c:v>1.28967171709671E-5</c:v>
                </c:pt>
                <c:pt idx="91">
                  <c:v>1.16044209955625E-5</c:v>
                </c:pt>
                <c:pt idx="92">
                  <c:v>1.04422620215728E-5</c:v>
                </c:pt>
                <c:pt idx="93">
                  <c:v>9.39705829025311E-6</c:v>
                </c:pt>
                <c:pt idx="94">
                  <c:v>8.45697237609994E-6</c:v>
                </c:pt>
                <c:pt idx="95">
                  <c:v>7.61137310459968E-6</c:v>
                </c:pt>
                <c:pt idx="96">
                  <c:v>6.85071163484323E-6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82200"/>
        <c:axId val="2099379032"/>
      </c:scatterChart>
      <c:valAx>
        <c:axId val="2099382200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099379032"/>
        <c:crosses val="autoZero"/>
        <c:crossBetween val="midCat"/>
      </c:valAx>
      <c:valAx>
        <c:axId val="209937903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099382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319767441860465"/>
          <c:w val="0.723853484435941"/>
          <c:h val="0.9218721388024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ChiSquare_n!$I$3</c:f>
              <c:strCache>
                <c:ptCount val="1"/>
                <c:pt idx="0">
                  <c:v>Chi2(n=2)-CDF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ChiSquare_n!$I$4:$I$100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0.0951625819640404</c:v>
                </c:pt>
                <c:pt idx="3">
                  <c:v>0.181269246922018</c:v>
                </c:pt>
                <c:pt idx="4">
                  <c:v>0.259181779318282</c:v>
                </c:pt>
                <c:pt idx="5">
                  <c:v>0.329679953964361</c:v>
                </c:pt>
                <c:pt idx="6">
                  <c:v>0.393469340287367</c:v>
                </c:pt>
                <c:pt idx="7">
                  <c:v>0.451188363905973</c:v>
                </c:pt>
                <c:pt idx="8">
                  <c:v>0.50341469620859</c:v>
                </c:pt>
                <c:pt idx="9">
                  <c:v>0.550671035882778</c:v>
                </c:pt>
                <c:pt idx="10">
                  <c:v>0.593430340259401</c:v>
                </c:pt>
                <c:pt idx="11">
                  <c:v>0.632120558828558</c:v>
                </c:pt>
                <c:pt idx="12">
                  <c:v>0.66712891630192</c:v>
                </c:pt>
                <c:pt idx="13">
                  <c:v>0.698805788087798</c:v>
                </c:pt>
                <c:pt idx="14">
                  <c:v>0.727468206965987</c:v>
                </c:pt>
                <c:pt idx="15">
                  <c:v>0.753403036058393</c:v>
                </c:pt>
                <c:pt idx="16">
                  <c:v>0.77686983985157</c:v>
                </c:pt>
                <c:pt idx="17">
                  <c:v>0.798103482005345</c:v>
                </c:pt>
                <c:pt idx="18">
                  <c:v>0.817316475947265</c:v>
                </c:pt>
                <c:pt idx="19">
                  <c:v>0.834701111778414</c:v>
                </c:pt>
                <c:pt idx="20">
                  <c:v>0.850431380777365</c:v>
                </c:pt>
                <c:pt idx="21">
                  <c:v>0.864664716763387</c:v>
                </c:pt>
                <c:pt idx="22">
                  <c:v>0.877543571747018</c:v>
                </c:pt>
                <c:pt idx="23">
                  <c:v>0.889196841637666</c:v>
                </c:pt>
                <c:pt idx="24">
                  <c:v>0.899741156277196</c:v>
                </c:pt>
                <c:pt idx="25">
                  <c:v>0.909282046710588</c:v>
                </c:pt>
                <c:pt idx="26">
                  <c:v>0.917915001376101</c:v>
                </c:pt>
                <c:pt idx="27">
                  <c:v>0.925726421785666</c:v>
                </c:pt>
                <c:pt idx="28">
                  <c:v>0.93279448726025</c:v>
                </c:pt>
                <c:pt idx="29">
                  <c:v>0.939189937374782</c:v>
                </c:pt>
                <c:pt idx="30">
                  <c:v>0.944976779943593</c:v>
                </c:pt>
                <c:pt idx="31">
                  <c:v>0.950212931632136</c:v>
                </c:pt>
                <c:pt idx="32">
                  <c:v>0.954950797606442</c:v>
                </c:pt>
                <c:pt idx="33">
                  <c:v>0.959237796021634</c:v>
                </c:pt>
                <c:pt idx="34">
                  <c:v>0.96311683259876</c:v>
                </c:pt>
                <c:pt idx="35">
                  <c:v>0.966626730039674</c:v>
                </c:pt>
                <c:pt idx="36">
                  <c:v>0.969802616577681</c:v>
                </c:pt>
                <c:pt idx="37">
                  <c:v>0.972676277552707</c:v>
                </c:pt>
                <c:pt idx="38">
                  <c:v>0.975276473529661</c:v>
                </c:pt>
                <c:pt idx="39">
                  <c:v>0.977629228143834</c:v>
                </c:pt>
                <c:pt idx="40">
                  <c:v>0.979758088554196</c:v>
                </c:pt>
                <c:pt idx="41">
                  <c:v>0.981684361111266</c:v>
                </c:pt>
                <c:pt idx="42">
                  <c:v>0.983427324598239</c:v>
                </c:pt>
                <c:pt idx="43">
                  <c:v>0.985004423179522</c:v>
                </c:pt>
                <c:pt idx="44">
                  <c:v>0.986431440987799</c:v>
                </c:pt>
                <c:pt idx="45">
                  <c:v>0.987722660096932</c:v>
                </c:pt>
                <c:pt idx="46">
                  <c:v>0.988891003461758</c:v>
                </c:pt>
                <c:pt idx="47">
                  <c:v>0.989948164255366</c:v>
                </c:pt>
                <c:pt idx="48">
                  <c:v>0.990904722898304</c:v>
                </c:pt>
                <c:pt idx="49">
                  <c:v>0.99177025295098</c:v>
                </c:pt>
                <c:pt idx="50">
                  <c:v>0.992553416929076</c:v>
                </c:pt>
                <c:pt idx="51">
                  <c:v>0.993262053000914</c:v>
                </c:pt>
                <c:pt idx="52">
                  <c:v>0.993903253434484</c:v>
                </c:pt>
                <c:pt idx="53">
                  <c:v>0.994483435579239</c:v>
                </c:pt>
                <c:pt idx="54">
                  <c:v>0.99500840609309</c:v>
                </c:pt>
                <c:pt idx="55">
                  <c:v>0.995483419057387</c:v>
                </c:pt>
                <c:pt idx="56">
                  <c:v>0.995913228561536</c:v>
                </c:pt>
                <c:pt idx="57">
                  <c:v>0.996302136283517</c:v>
                </c:pt>
                <c:pt idx="58">
                  <c:v>0.996654034542529</c:v>
                </c:pt>
                <c:pt idx="59">
                  <c:v>0.996972445254624</c:v>
                </c:pt>
                <c:pt idx="60">
                  <c:v>0.997260555181232</c:v>
                </c:pt>
                <c:pt idx="61">
                  <c:v>0.997521247823334</c:v>
                </c:pt>
                <c:pt idx="62">
                  <c:v>0.997757132280514</c:v>
                </c:pt>
                <c:pt idx="63">
                  <c:v>0.997970569363704</c:v>
                </c:pt>
                <c:pt idx="64">
                  <c:v>0.998163695222971</c:v>
                </c:pt>
                <c:pt idx="65">
                  <c:v>0.998338442726826</c:v>
                </c:pt>
                <c:pt idx="66">
                  <c:v>0.998496560807022</c:v>
                </c:pt>
                <c:pt idx="67">
                  <c:v>0.998639631962452</c:v>
                </c:pt>
                <c:pt idx="68">
                  <c:v>0.998769088097327</c:v>
                </c:pt>
                <c:pt idx="69">
                  <c:v>0.998886224852155</c:v>
                </c:pt>
                <c:pt idx="70">
                  <c:v>0.998992214570951</c:v>
                </c:pt>
                <c:pt idx="71">
                  <c:v>0.999088118034445</c:v>
                </c:pt>
                <c:pt idx="72">
                  <c:v>0.999174895076734</c:v>
                </c:pt>
                <c:pt idx="73">
                  <c:v>0.999253414191623</c:v>
                </c:pt>
                <c:pt idx="74">
                  <c:v>0.999324461224806</c:v>
                </c:pt>
                <c:pt idx="75">
                  <c:v>0.99938874723887</c:v>
                </c:pt>
                <c:pt idx="76">
                  <c:v>0.999446915629852</c:v>
                </c:pt>
                <c:pt idx="77">
                  <c:v>0.999499548566559</c:v>
                </c:pt>
                <c:pt idx="78">
                  <c:v>0.999547172817113</c:v>
                </c:pt>
                <c:pt idx="79">
                  <c:v>0.99959026502102</c:v>
                </c:pt>
                <c:pt idx="80">
                  <c:v>0.999629256459541</c:v>
                </c:pt>
                <c:pt idx="81">
                  <c:v>0.999664537372097</c:v>
                </c:pt>
                <c:pt idx="82">
                  <c:v>0.999696460861921</c:v>
                </c:pt>
                <c:pt idx="83">
                  <c:v>0.999725346430028</c:v>
                </c:pt>
                <c:pt idx="84">
                  <c:v>0.999751483172892</c:v>
                </c:pt>
                <c:pt idx="85">
                  <c:v>0.999775132675821</c:v>
                </c:pt>
                <c:pt idx="86">
                  <c:v>0.999796531630989</c:v>
                </c:pt>
                <c:pt idx="87">
                  <c:v>0.999815894206332</c:v>
                </c:pt>
                <c:pt idx="88">
                  <c:v>0.999833414189012</c:v>
                </c:pt>
                <c:pt idx="89">
                  <c:v>0.999849266924904</c:v>
                </c:pt>
                <c:pt idx="90">
                  <c:v>0.999863611073518</c:v>
                </c:pt>
                <c:pt idx="91">
                  <c:v>0.999876590195913</c:v>
                </c:pt>
                <c:pt idx="92">
                  <c:v>0.99988833419151</c:v>
                </c:pt>
                <c:pt idx="93">
                  <c:v>0.999898960598163</c:v>
                </c:pt>
                <c:pt idx="94">
                  <c:v>0.999908575768522</c:v>
                </c:pt>
                <c:pt idx="95">
                  <c:v>0.999917275934443</c:v>
                </c:pt>
                <c:pt idx="96">
                  <c:v>0.999925148170112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ChiSquare_n!$L$3</c:f>
              <c:strCache>
                <c:ptCount val="1"/>
                <c:pt idx="0">
                  <c:v>Chi2(n=3)-CDF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ChiSquare_n!$L$4:$L$100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0.0224107022383506</c:v>
                </c:pt>
                <c:pt idx="3">
                  <c:v>0.0597575051606393</c:v>
                </c:pt>
                <c:pt idx="4">
                  <c:v>0.103567626658089</c:v>
                </c:pt>
                <c:pt idx="5">
                  <c:v>0.150532966608174</c:v>
                </c:pt>
                <c:pt idx="6">
                  <c:v>0.198748043098799</c:v>
                </c:pt>
                <c:pt idx="7">
                  <c:v>0.246995688343542</c:v>
                </c:pt>
                <c:pt idx="8">
                  <c:v>0.294465268795909</c:v>
                </c:pt>
                <c:pt idx="9">
                  <c:v>0.340610180288015</c:v>
                </c:pt>
                <c:pt idx="10">
                  <c:v>0.385065064217462</c:v>
                </c:pt>
                <c:pt idx="11">
                  <c:v>0.42759329552912</c:v>
                </c:pt>
                <c:pt idx="12">
                  <c:v>0.468051628789512</c:v>
                </c:pt>
                <c:pt idx="13">
                  <c:v>0.506365377288272</c:v>
                </c:pt>
                <c:pt idx="14">
                  <c:v>0.542510453121817</c:v>
                </c:pt>
                <c:pt idx="15">
                  <c:v>0.576500082944541</c:v>
                </c:pt>
                <c:pt idx="16">
                  <c:v>0.608374823728911</c:v>
                </c:pt>
                <c:pt idx="17">
                  <c:v>0.638194972502468</c:v>
                </c:pt>
                <c:pt idx="18">
                  <c:v>0.66603475090984</c:v>
                </c:pt>
                <c:pt idx="19">
                  <c:v>0.691977828441007</c:v>
                </c:pt>
                <c:pt idx="20">
                  <c:v>0.716113869240173</c:v>
                </c:pt>
                <c:pt idx="21">
                  <c:v>0.738535870050889</c:v>
                </c:pt>
                <c:pt idx="22">
                  <c:v>0.759338114790385</c:v>
                </c:pt>
                <c:pt idx="23">
                  <c:v>0.778614612810512</c:v>
                </c:pt>
                <c:pt idx="24">
                  <c:v>0.796457918320635</c:v>
                </c:pt>
                <c:pt idx="25">
                  <c:v>0.812958251095092</c:v>
                </c:pt>
                <c:pt idx="26">
                  <c:v>0.828202855703267</c:v>
                </c:pt>
                <c:pt idx="27">
                  <c:v>0.842275549603337</c:v>
                </c:pt>
                <c:pt idx="28">
                  <c:v>0.855256420585144</c:v>
                </c:pt>
                <c:pt idx="29">
                  <c:v>0.867221641977769</c:v>
                </c:pt>
                <c:pt idx="30">
                  <c:v>0.878243380288746</c:v>
                </c:pt>
                <c:pt idx="31">
                  <c:v>0.888389774905288</c:v>
                </c:pt>
                <c:pt idx="32">
                  <c:v>0.897724973453062</c:v>
                </c:pt>
                <c:pt idx="33">
                  <c:v>0.90630920959237</c:v>
                </c:pt>
                <c:pt idx="34">
                  <c:v>0.914198912599877</c:v>
                </c:pt>
                <c:pt idx="35">
                  <c:v>0.921446840163202</c:v>
                </c:pt>
                <c:pt idx="36">
                  <c:v>0.928102227503535</c:v>
                </c:pt>
                <c:pt idx="37">
                  <c:v>0.934210947314929</c:v>
                </c:pt>
                <c:pt idx="38">
                  <c:v>0.939815676128265</c:v>
                </c:pt>
                <c:pt idx="39">
                  <c:v>0.944956063621122</c:v>
                </c:pt>
                <c:pt idx="40">
                  <c:v>0.949668902140147</c:v>
                </c:pt>
                <c:pt idx="41">
                  <c:v>0.953988294310769</c:v>
                </c:pt>
                <c:pt idx="42">
                  <c:v>0.957945817105034</c:v>
                </c:pt>
                <c:pt idx="43">
                  <c:v>0.961570681142111</c:v>
                </c:pt>
                <c:pt idx="44">
                  <c:v>0.964889884324019</c:v>
                </c:pt>
                <c:pt idx="45">
                  <c:v>0.967928359174735</c:v>
                </c:pt>
                <c:pt idx="46">
                  <c:v>0.970709113465112</c:v>
                </c:pt>
                <c:pt idx="47">
                  <c:v>0.973253363877911</c:v>
                </c:pt>
                <c:pt idx="48">
                  <c:v>0.975580662604283</c:v>
                </c:pt>
                <c:pt idx="49">
                  <c:v>0.977709016871298</c:v>
                </c:pt>
                <c:pt idx="50">
                  <c:v>0.979655001484792</c:v>
                </c:pt>
                <c:pt idx="51">
                  <c:v>0.981433864536957</c:v>
                </c:pt>
                <c:pt idx="52">
                  <c:v>0.983059626477466</c:v>
                </c:pt>
                <c:pt idx="53">
                  <c:v>0.984545172783142</c:v>
                </c:pt>
                <c:pt idx="54">
                  <c:v>0.985902340486894</c:v>
                </c:pt>
                <c:pt idx="55">
                  <c:v>0.987141998843702</c:v>
                </c:pt>
                <c:pt idx="56">
                  <c:v>0.988274124421579</c:v>
                </c:pt>
                <c:pt idx="57">
                  <c:v>0.989307870909996</c:v>
                </c:pt>
                <c:pt idx="58">
                  <c:v>0.990251633938463</c:v>
                </c:pt>
                <c:pt idx="59">
                  <c:v>0.991113111194591</c:v>
                </c:pt>
                <c:pt idx="60">
                  <c:v>0.991899358125037</c:v>
                </c:pt>
                <c:pt idx="61">
                  <c:v>0.99261683949464</c:v>
                </c:pt>
                <c:pt idx="62">
                  <c:v>0.993271477069539</c:v>
                </c:pt>
                <c:pt idx="63">
                  <c:v>0.993868693679422</c:v>
                </c:pt>
                <c:pt idx="64">
                  <c:v>0.994413453902698</c:v>
                </c:pt>
                <c:pt idx="65">
                  <c:v>0.994910301606563</c:v>
                </c:pt>
                <c:pt idx="66">
                  <c:v>0.995363394561958</c:v>
                </c:pt>
                <c:pt idx="67">
                  <c:v>0.995776536341314</c:v>
                </c:pt>
                <c:pt idx="68">
                  <c:v>0.99615320569511</c:v>
                </c:pt>
                <c:pt idx="69">
                  <c:v>0.996496583591542</c:v>
                </c:pt>
                <c:pt idx="70">
                  <c:v>0.996809578092203</c:v>
                </c:pt>
                <c:pt idx="71">
                  <c:v>0.997094847225733</c:v>
                </c:pt>
                <c:pt idx="72">
                  <c:v>0.997354820010754</c:v>
                </c:pt>
                <c:pt idx="73">
                  <c:v>0.997591715769353</c:v>
                </c:pt>
                <c:pt idx="74">
                  <c:v>0.997807561862693</c:v>
                </c:pt>
                <c:pt idx="75">
                  <c:v>0.998004209971246</c:v>
                </c:pt>
                <c:pt idx="76">
                  <c:v>0.998183351033428</c:v>
                </c:pt>
                <c:pt idx="77">
                  <c:v>0.998346528948312</c:v>
                </c:pt>
                <c:pt idx="78">
                  <c:v>0.998495153140389</c:v>
                </c:pt>
                <c:pt idx="79">
                  <c:v>0.998630510077131</c:v>
                </c:pt>
                <c:pt idx="80">
                  <c:v>0.998753773823376</c:v>
                </c:pt>
                <c:pt idx="81">
                  <c:v>0.998866015710215</c:v>
                </c:pt>
                <c:pt idx="82">
                  <c:v>0.99896821319017</c:v>
                </c:pt>
                <c:pt idx="83">
                  <c:v>0.999061257944955</c:v>
                </c:pt>
                <c:pt idx="84">
                  <c:v>0.999145963306971</c:v>
                </c:pt>
                <c:pt idx="85">
                  <c:v>0.999223071050941</c:v>
                </c:pt>
                <c:pt idx="86">
                  <c:v>0.999293257607663</c:v>
                </c:pt>
                <c:pt idx="87">
                  <c:v>0.999357139747746</c:v>
                </c:pt>
                <c:pt idx="88">
                  <c:v>0.999415279779395</c:v>
                </c:pt>
                <c:pt idx="89">
                  <c:v>0.999468190300794</c:v>
                </c:pt>
                <c:pt idx="90">
                  <c:v>0.999516338544361</c:v>
                </c:pt>
                <c:pt idx="91">
                  <c:v>0.999560150347161</c:v>
                </c:pt>
                <c:pt idx="92">
                  <c:v>0.999600013778948</c:v>
                </c:pt>
                <c:pt idx="93">
                  <c:v>0.999636282456761</c:v>
                </c:pt>
                <c:pt idx="94">
                  <c:v>0.999669278572636</c:v>
                </c:pt>
                <c:pt idx="95">
                  <c:v>0.999699295658768</c:v>
                </c:pt>
                <c:pt idx="96">
                  <c:v>0.999726601112509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ChiSquare_n!$O$3</c:f>
              <c:strCache>
                <c:ptCount val="1"/>
                <c:pt idx="0">
                  <c:v>Chi2(n=4)-CDF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ChiSquare_n!$O$4:$O$100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0.00467884016044447</c:v>
                </c:pt>
                <c:pt idx="3">
                  <c:v>0.0175230963064218</c:v>
                </c:pt>
                <c:pt idx="4">
                  <c:v>0.0369363131137668</c:v>
                </c:pt>
                <c:pt idx="5">
                  <c:v>0.061551935550105</c:v>
                </c:pt>
                <c:pt idx="6">
                  <c:v>0.0902040104310498</c:v>
                </c:pt>
                <c:pt idx="7">
                  <c:v>0.121901382249558</c:v>
                </c:pt>
                <c:pt idx="8">
                  <c:v>0.155804983554604</c:v>
                </c:pt>
                <c:pt idx="9">
                  <c:v>0.191207864589001</c:v>
                </c:pt>
                <c:pt idx="10">
                  <c:v>0.227517646492862</c:v>
                </c:pt>
                <c:pt idx="11">
                  <c:v>0.264241117657115</c:v>
                </c:pt>
                <c:pt idx="12">
                  <c:v>0.300970724234033</c:v>
                </c:pt>
                <c:pt idx="13">
                  <c:v>0.337372733793155</c:v>
                </c:pt>
                <c:pt idx="14">
                  <c:v>0.373176876021771</c:v>
                </c:pt>
                <c:pt idx="15">
                  <c:v>0.408167286540145</c:v>
                </c:pt>
                <c:pt idx="16">
                  <c:v>0.442174599628925</c:v>
                </c:pt>
                <c:pt idx="17">
                  <c:v>0.475069053213896</c:v>
                </c:pt>
                <c:pt idx="18">
                  <c:v>0.506754485057617</c:v>
                </c:pt>
                <c:pt idx="19">
                  <c:v>0.537163112979558</c:v>
                </c:pt>
                <c:pt idx="20">
                  <c:v>0.566251004254359</c:v>
                </c:pt>
                <c:pt idx="21">
                  <c:v>0.593994150290162</c:v>
                </c:pt>
                <c:pt idx="22">
                  <c:v>0.620385072415756</c:v>
                </c:pt>
                <c:pt idx="23">
                  <c:v>0.645429893240532</c:v>
                </c:pt>
                <c:pt idx="24">
                  <c:v>0.669145815714748</c:v>
                </c:pt>
                <c:pt idx="25">
                  <c:v>0.691558958815997</c:v>
                </c:pt>
                <c:pt idx="26">
                  <c:v>0.712702504816354</c:v>
                </c:pt>
                <c:pt idx="27">
                  <c:v>0.732615118428398</c:v>
                </c:pt>
                <c:pt idx="28">
                  <c:v>0.751339602862926</c:v>
                </c:pt>
                <c:pt idx="29">
                  <c:v>0.768921762024172</c:v>
                </c:pt>
                <c:pt idx="30">
                  <c:v>0.785409441780012</c:v>
                </c:pt>
                <c:pt idx="31">
                  <c:v>0.800851726528544</c:v>
                </c:pt>
                <c:pt idx="32">
                  <c:v>0.815298270186413</c:v>
                </c:pt>
                <c:pt idx="33">
                  <c:v>0.828798743290862</c:v>
                </c:pt>
                <c:pt idx="34">
                  <c:v>0.841402380174668</c:v>
                </c:pt>
                <c:pt idx="35">
                  <c:v>0.853157612174565</c:v>
                </c:pt>
                <c:pt idx="36">
                  <c:v>0.864111774599567</c:v>
                </c:pt>
                <c:pt idx="37">
                  <c:v>0.874310876742454</c:v>
                </c:pt>
                <c:pt idx="38">
                  <c:v>0.883799425589405</c:v>
                </c:pt>
                <c:pt idx="39">
                  <c:v>0.892620295090405</c:v>
                </c:pt>
                <c:pt idx="40">
                  <c:v>0.900814633915559</c:v>
                </c:pt>
                <c:pt idx="41">
                  <c:v>0.908421805556329</c:v>
                </c:pt>
                <c:pt idx="42">
                  <c:v>0.915479355451018</c:v>
                </c:pt>
                <c:pt idx="43">
                  <c:v>0.922023000533516</c:v>
                </c:pt>
                <c:pt idx="44">
                  <c:v>0.928086637235335</c:v>
                </c:pt>
                <c:pt idx="45">
                  <c:v>0.93370236452343</c:v>
                </c:pt>
                <c:pt idx="46">
                  <c:v>0.938900519039667</c:v>
                </c:pt>
                <c:pt idx="47">
                  <c:v>0.943709719830052</c:v>
                </c:pt>
                <c:pt idx="48">
                  <c:v>0.948156920520334</c:v>
                </c:pt>
                <c:pt idx="49">
                  <c:v>0.952267467115684</c:v>
                </c:pt>
                <c:pt idx="50">
                  <c:v>0.956065159881546</c:v>
                </c:pt>
                <c:pt idx="51">
                  <c:v>0.959572318005487</c:v>
                </c:pt>
                <c:pt idx="52">
                  <c:v>0.962809845950355</c:v>
                </c:pt>
                <c:pt idx="53">
                  <c:v>0.965797300591283</c:v>
                </c:pt>
                <c:pt idx="54">
                  <c:v>0.968552958386466</c:v>
                </c:pt>
                <c:pt idx="55">
                  <c:v>0.971093881967279</c:v>
                </c:pt>
                <c:pt idx="56">
                  <c:v>0.973435985649983</c:v>
                </c:pt>
                <c:pt idx="57">
                  <c:v>0.975594099471213</c:v>
                </c:pt>
                <c:pt idx="58">
                  <c:v>0.977582031434942</c:v>
                </c:pt>
                <c:pt idx="59">
                  <c:v>0.979412627731444</c:v>
                </c:pt>
                <c:pt idx="60">
                  <c:v>0.981097830750498</c:v>
                </c:pt>
                <c:pt idx="61">
                  <c:v>0.982648734763335</c:v>
                </c:pt>
                <c:pt idx="62">
                  <c:v>0.984075639191651</c:v>
                </c:pt>
                <c:pt idx="63">
                  <c:v>0.985388099418671</c:v>
                </c:pt>
                <c:pt idx="64">
                  <c:v>0.986594975127689</c:v>
                </c:pt>
                <c:pt idx="65">
                  <c:v>0.987704476178513</c:v>
                </c:pt>
                <c:pt idx="66">
                  <c:v>0.988724206052668</c:v>
                </c:pt>
                <c:pt idx="67">
                  <c:v>0.989661202914636</c:v>
                </c:pt>
                <c:pt idx="68">
                  <c:v>0.990521978349414</c:v>
                </c:pt>
                <c:pt idx="69">
                  <c:v>0.99131255384681</c:v>
                </c:pt>
                <c:pt idx="70">
                  <c:v>0.992038495110517</c:v>
                </c:pt>
                <c:pt idx="71">
                  <c:v>0.992704944275564</c:v>
                </c:pt>
                <c:pt idx="72">
                  <c:v>0.993316650121546</c:v>
                </c:pt>
                <c:pt idx="73">
                  <c:v>0.993877996371311</c:v>
                </c:pt>
                <c:pt idx="74">
                  <c:v>0.994393028165891</c:v>
                </c:pt>
                <c:pt idx="75">
                  <c:v>0.994865476806511</c:v>
                </c:pt>
                <c:pt idx="76">
                  <c:v>0.995298782853743</c:v>
                </c:pt>
                <c:pt idx="77">
                  <c:v>0.995696117672411</c:v>
                </c:pt>
                <c:pt idx="78">
                  <c:v>0.996060403508885</c:v>
                </c:pt>
                <c:pt idx="79">
                  <c:v>0.996394332184978</c:v>
                </c:pt>
                <c:pt idx="80">
                  <c:v>0.996700382489914</c:v>
                </c:pt>
                <c:pt idx="81">
                  <c:v>0.996980836348877</c:v>
                </c:pt>
                <c:pt idx="82">
                  <c:v>0.997237793843482</c:v>
                </c:pt>
                <c:pt idx="83">
                  <c:v>0.997473187156256</c:v>
                </c:pt>
                <c:pt idx="84">
                  <c:v>0.997688793507896</c:v>
                </c:pt>
                <c:pt idx="85">
                  <c:v>0.997886247152719</c:v>
                </c:pt>
                <c:pt idx="86">
                  <c:v>0.998067050494399</c:v>
                </c:pt>
                <c:pt idx="87">
                  <c:v>0.998232584380791</c:v>
                </c:pt>
                <c:pt idx="88">
                  <c:v>0.99838411763342</c:v>
                </c:pt>
                <c:pt idx="89">
                  <c:v>0.998522815864064</c:v>
                </c:pt>
                <c:pt idx="90">
                  <c:v>0.998649749627828</c:v>
                </c:pt>
                <c:pt idx="91">
                  <c:v>0.998765901959133</c:v>
                </c:pt>
                <c:pt idx="92">
                  <c:v>0.99887217533425</c:v>
                </c:pt>
                <c:pt idx="93">
                  <c:v>0.998969398101262</c:v>
                </c:pt>
                <c:pt idx="94">
                  <c:v>0.999058330415775</c:v>
                </c:pt>
                <c:pt idx="95">
                  <c:v>0.999139669718211</c:v>
                </c:pt>
                <c:pt idx="96">
                  <c:v>0.999214055786179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ChiSquare_n!$R$3</c:f>
              <c:strCache>
                <c:ptCount val="1"/>
                <c:pt idx="0">
                  <c:v>Chi2(n=5)-CDF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ChiSquare_n!$R$4:$R$100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0.000886138788812443</c:v>
                </c:pt>
                <c:pt idx="3">
                  <c:v>0.00467040676412957</c:v>
                </c:pt>
                <c:pt idx="4">
                  <c:v>0.0119967572059063</c:v>
                </c:pt>
                <c:pt idx="5">
                  <c:v>0.0229666562430737</c:v>
                </c:pt>
                <c:pt idx="6">
                  <c:v>0.0374342267527036</c:v>
                </c:pt>
                <c:pt idx="7">
                  <c:v>0.0551226349978781</c:v>
                </c:pt>
                <c:pt idx="8">
                  <c:v>0.075686727198333</c:v>
                </c:pt>
                <c:pt idx="9">
                  <c:v>0.0987506554987263</c:v>
                </c:pt>
                <c:pt idx="10">
                  <c:v>0.12393159967534</c:v>
                </c:pt>
                <c:pt idx="11">
                  <c:v>0.15085496391539</c:v>
                </c:pt>
                <c:pt idx="12">
                  <c:v>0.179164030785504</c:v>
                </c:pt>
                <c:pt idx="13">
                  <c:v>0.208525879405675</c:v>
                </c:pt>
                <c:pt idx="14">
                  <c:v>0.238634732154986</c:v>
                </c:pt>
                <c:pt idx="15">
                  <c:v>0.269213513411242</c:v>
                </c:pt>
                <c:pt idx="16">
                  <c:v>0.300014164121373</c:v>
                </c:pt>
                <c:pt idx="17">
                  <c:v>0.330817097966757</c:v>
                </c:pt>
                <c:pt idx="18">
                  <c:v>0.361430076896205</c:v>
                </c:pt>
                <c:pt idx="19">
                  <c:v>0.391686707918531</c:v>
                </c:pt>
                <c:pt idx="20">
                  <c:v>0.421444708563727</c:v>
                </c:pt>
                <c:pt idx="21">
                  <c:v>0.45058404864722</c:v>
                </c:pt>
                <c:pt idx="22">
                  <c:v>0.479005046568595</c:v>
                </c:pt>
                <c:pt idx="23">
                  <c:v>0.506626476441163</c:v>
                </c:pt>
                <c:pt idx="24">
                  <c:v>0.53338372588467</c:v>
                </c:pt>
                <c:pt idx="25">
                  <c:v>0.559227031913338</c:v>
                </c:pt>
                <c:pt idx="26">
                  <c:v>0.584119813004492</c:v>
                </c:pt>
                <c:pt idx="27">
                  <c:v>0.608037108400366</c:v>
                </c:pt>
                <c:pt idx="28">
                  <c:v>0.630964130429027</c:v>
                </c:pt>
                <c:pt idx="29">
                  <c:v>0.652894931718285</c:v>
                </c:pt>
                <c:pt idx="30">
                  <c:v>0.673831186306427</c:v>
                </c:pt>
                <c:pt idx="31">
                  <c:v>0.693781081586722</c:v>
                </c:pt>
                <c:pt idx="32">
                  <c:v>0.712758316574439</c:v>
                </c:pt>
                <c:pt idx="33">
                  <c:v>0.730781201012897</c:v>
                </c:pt>
                <c:pt idx="34">
                  <c:v>0.747871849227335</c:v>
                </c:pt>
                <c:pt idx="35">
                  <c:v>0.764055462305479</c:v>
                </c:pt>
                <c:pt idx="36">
                  <c:v>0.779359692063289</c:v>
                </c:pt>
                <c:pt idx="37">
                  <c:v>0.793814080290444</c:v>
                </c:pt>
                <c:pt idx="38">
                  <c:v>0.807449566920604</c:v>
                </c:pt>
                <c:pt idx="39">
                  <c:v>0.820298061004</c:v>
                </c:pt>
                <c:pt idx="40">
                  <c:v>0.832392068648688</c:v>
                </c:pt>
                <c:pt idx="41">
                  <c:v>0.843764372422278</c:v>
                </c:pt>
                <c:pt idx="42">
                  <c:v>0.854447757052642</c:v>
                </c:pt>
                <c:pt idx="43">
                  <c:v>0.864474776622471</c:v>
                </c:pt>
                <c:pt idx="44">
                  <c:v>0.873877558809589</c:v>
                </c:pt>
                <c:pt idx="45">
                  <c:v>0.882687642076143</c:v>
                </c:pt>
                <c:pt idx="46">
                  <c:v>0.890935842050228</c:v>
                </c:pt>
                <c:pt idx="47">
                  <c:v>0.898652143669893</c:v>
                </c:pt>
                <c:pt idx="48">
                  <c:v>0.905865615969376</c:v>
                </c:pt>
                <c:pt idx="49">
                  <c:v>0.912604346679418</c:v>
                </c:pt>
                <c:pt idx="50">
                  <c:v>0.918895394086905</c:v>
                </c:pt>
                <c:pt idx="51">
                  <c:v>0.924764753853488</c:v>
                </c:pt>
                <c:pt idx="52">
                  <c:v>0.930237338728457</c:v>
                </c:pt>
                <c:pt idx="53">
                  <c:v>0.935336969308418</c:v>
                </c:pt>
                <c:pt idx="54">
                  <c:v>0.940086374195785</c:v>
                </c:pt>
                <c:pt idx="55">
                  <c:v>0.944507198090638</c:v>
                </c:pt>
                <c:pt idx="56">
                  <c:v>0.94862001651693</c:v>
                </c:pt>
                <c:pt idx="57">
                  <c:v>0.952444356035295</c:v>
                </c:pt>
                <c:pt idx="58">
                  <c:v>0.955998718931808</c:v>
                </c:pt>
                <c:pt idx="59">
                  <c:v>0.95930061149595</c:v>
                </c:pt>
                <c:pt idx="60">
                  <c:v>0.962366575112665</c:v>
                </c:pt>
                <c:pt idx="61">
                  <c:v>0.965212219493758</c:v>
                </c:pt>
                <c:pt idx="62">
                  <c:v>0.967852257463842</c:v>
                </c:pt>
                <c:pt idx="63">
                  <c:v>0.97030054079648</c:v>
                </c:pt>
                <c:pt idx="64">
                  <c:v>0.972570096667892</c:v>
                </c:pt>
                <c:pt idx="65">
                  <c:v>0.974673164359409</c:v>
                </c:pt>
                <c:pt idx="66">
                  <c:v>0.976621231896436</c:v>
                </c:pt>
                <c:pt idx="67">
                  <c:v>0.978425072361766</c:v>
                </c:pt>
                <c:pt idx="68">
                  <c:v>0.980094779665225</c:v>
                </c:pt>
                <c:pt idx="69">
                  <c:v>0.98163980359048</c:v>
                </c:pt>
                <c:pt idx="70">
                  <c:v>0.983068983973852</c:v>
                </c:pt>
                <c:pt idx="71">
                  <c:v>0.984390583899733</c:v>
                </c:pt>
                <c:pt idx="72">
                  <c:v>0.985612321823079</c:v>
                </c:pt>
                <c:pt idx="73">
                  <c:v>0.986741402551852</c:v>
                </c:pt>
                <c:pt idx="74">
                  <c:v>0.987784547041692</c:v>
                </c:pt>
                <c:pt idx="75">
                  <c:v>0.988748020971673</c:v>
                </c:pt>
                <c:pt idx="76">
                  <c:v>0.989637662084214</c:v>
                </c:pt>
                <c:pt idx="77">
                  <c:v>0.990458906284268</c:v>
                </c:pt>
                <c:pt idx="78">
                  <c:v>0.991216812503031</c:v>
                </c:pt>
                <c:pt idx="79">
                  <c:v>0.991916086339899</c:v>
                </c:pt>
                <c:pt idx="80">
                  <c:v>0.992561102503405</c:v>
                </c:pt>
                <c:pt idx="81">
                  <c:v>0.993155926077579</c:v>
                </c:pt>
                <c:pt idx="82">
                  <c:v>0.993704332644746</c:v>
                </c:pt>
                <c:pt idx="83">
                  <c:v>0.994209827299411</c:v>
                </c:pt>
                <c:pt idx="84">
                  <c:v>0.994675662590624</c:v>
                </c:pt>
                <c:pt idx="85">
                  <c:v>0.995104855432262</c:v>
                </c:pt>
                <c:pt idx="86">
                  <c:v>0.995500203022029</c:v>
                </c:pt>
                <c:pt idx="87">
                  <c:v>0.995864297810895</c:v>
                </c:pt>
                <c:pt idx="88">
                  <c:v>0.996199541565022</c:v>
                </c:pt>
                <c:pt idx="89">
                  <c:v>0.996508158562321</c:v>
                </c:pt>
                <c:pt idx="90">
                  <c:v>0.996792207965395</c:v>
                </c:pt>
                <c:pt idx="91">
                  <c:v>0.99705359541212</c:v>
                </c:pt>
                <c:pt idx="92">
                  <c:v>0.997294083864264</c:v>
                </c:pt>
                <c:pt idx="93">
                  <c:v>0.997515303753596</c:v>
                </c:pt>
                <c:pt idx="94">
                  <c:v>0.997718762463812</c:v>
                </c:pt>
                <c:pt idx="95">
                  <c:v>0.997905853185375</c:v>
                </c:pt>
                <c:pt idx="96">
                  <c:v>0.998077863179057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ChiSquare_n!$F$3</c:f>
              <c:strCache>
                <c:ptCount val="1"/>
                <c:pt idx="0">
                  <c:v>Chi2(n=1)-CDF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ChiSquare_n!$C$4:$C$100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ChiSquare_n!$F$4:$F$100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0.345279153981423</c:v>
                </c:pt>
                <c:pt idx="3">
                  <c:v>0.472910743134462</c:v>
                </c:pt>
                <c:pt idx="4">
                  <c:v>0.561421973919</c:v>
                </c:pt>
                <c:pt idx="5">
                  <c:v>0.628906630477302</c:v>
                </c:pt>
                <c:pt idx="6">
                  <c:v>0.682689492137086</c:v>
                </c:pt>
                <c:pt idx="7">
                  <c:v>0.726678321707702</c:v>
                </c:pt>
                <c:pt idx="8">
                  <c:v>0.763276429362143</c:v>
                </c:pt>
                <c:pt idx="9">
                  <c:v>0.794096789267932</c:v>
                </c:pt>
                <c:pt idx="10">
                  <c:v>0.820287505121</c:v>
                </c:pt>
                <c:pt idx="11">
                  <c:v>0.842700792949715</c:v>
                </c:pt>
                <c:pt idx="12">
                  <c:v>0.86198926243134</c:v>
                </c:pt>
                <c:pt idx="13">
                  <c:v>0.878664749641518</c:v>
                </c:pt>
                <c:pt idx="14">
                  <c:v>0.89313628500662</c:v>
                </c:pt>
                <c:pt idx="15">
                  <c:v>0.90573569315879</c:v>
                </c:pt>
                <c:pt idx="16">
                  <c:v>0.91673548333645</c:v>
                </c:pt>
                <c:pt idx="17">
                  <c:v>0.926361729879697</c:v>
                </c:pt>
                <c:pt idx="18">
                  <c:v>0.93480358092187</c:v>
                </c:pt>
                <c:pt idx="19">
                  <c:v>0.942220428876403</c:v>
                </c:pt>
                <c:pt idx="20">
                  <c:v>0.948747417142631</c:v>
                </c:pt>
                <c:pt idx="21">
                  <c:v>0.954499736103642</c:v>
                </c:pt>
                <c:pt idx="22">
                  <c:v>0.959576020663091</c:v>
                </c:pt>
                <c:pt idx="23">
                  <c:v>0.964061069425977</c:v>
                </c:pt>
                <c:pt idx="24">
                  <c:v>0.968028043822351</c:v>
                </c:pt>
                <c:pt idx="25">
                  <c:v>0.971540263083689</c:v>
                </c:pt>
                <c:pt idx="26">
                  <c:v>0.974652681322532</c:v>
                </c:pt>
                <c:pt idx="27">
                  <c:v>0.97741311183582</c:v>
                </c:pt>
                <c:pt idx="28">
                  <c:v>0.979863248449654</c:v>
                </c:pt>
                <c:pt idx="29">
                  <c:v>0.982039522473921</c:v>
                </c:pt>
                <c:pt idx="30">
                  <c:v>0.983973825452015</c:v>
                </c:pt>
                <c:pt idx="31">
                  <c:v>0.98569412156457</c:v>
                </c:pt>
                <c:pt idx="32">
                  <c:v>0.987224968716913</c:v>
                </c:pt>
                <c:pt idx="33">
                  <c:v>0.988587963613998</c:v>
                </c:pt>
                <c:pt idx="34">
                  <c:v>0.98980212322376</c:v>
                </c:pt>
                <c:pt idx="35">
                  <c:v>0.990884212747492</c:v>
                </c:pt>
                <c:pt idx="36">
                  <c:v>0.991849028406497</c:v>
                </c:pt>
                <c:pt idx="37">
                  <c:v>0.992709641908464</c:v>
                </c:pt>
                <c:pt idx="38">
                  <c:v>0.993477612293533</c:v>
                </c:pt>
                <c:pt idx="39">
                  <c:v>0.994163169917354</c:v>
                </c:pt>
                <c:pt idx="40">
                  <c:v>0.994775376559939</c:v>
                </c:pt>
                <c:pt idx="41">
                  <c:v>0.995322265018953</c:v>
                </c:pt>
                <c:pt idx="42">
                  <c:v>0.995810961026641</c:v>
                </c:pt>
                <c:pt idx="43">
                  <c:v>0.996247789899126</c:v>
                </c:pt>
                <c:pt idx="44">
                  <c:v>0.996638369968588</c:v>
                </c:pt>
                <c:pt idx="45">
                  <c:v>0.996987694549254</c:v>
                </c:pt>
                <c:pt idx="46">
                  <c:v>0.99730020393674</c:v>
                </c:pt>
                <c:pt idx="47">
                  <c:v>0.997579848728352</c:v>
                </c:pt>
                <c:pt idx="48">
                  <c:v>0.99783014557287</c:v>
                </c:pt>
                <c:pt idx="49">
                  <c:v>0.998054226306261</c:v>
                </c:pt>
                <c:pt idx="50">
                  <c:v>0.998254881300471</c:v>
                </c:pt>
                <c:pt idx="51">
                  <c:v>0.998434597741997</c:v>
                </c:pt>
                <c:pt idx="52">
                  <c:v>0.998595593462469</c:v>
                </c:pt>
                <c:pt idx="53">
                  <c:v>0.99873984686239</c:v>
                </c:pt>
                <c:pt idx="54">
                  <c:v>0.998869123399472</c:v>
                </c:pt>
                <c:pt idx="55">
                  <c:v>0.998984999052887</c:v>
                </c:pt>
                <c:pt idx="56">
                  <c:v>0.999088881122846</c:v>
                </c:pt>
                <c:pt idx="57">
                  <c:v>0.999182026680006</c:v>
                </c:pt>
                <c:pt idx="58">
                  <c:v>0.999265558940214</c:v>
                </c:pt>
                <c:pt idx="59">
                  <c:v>0.999340481806309</c:v>
                </c:pt>
                <c:pt idx="60">
                  <c:v>0.9994076927892</c:v>
                </c:pt>
                <c:pt idx="61">
                  <c:v>0.999467994494861</c:v>
                </c:pt>
                <c:pt idx="62">
                  <c:v>0.999522104841431</c:v>
                </c:pt>
                <c:pt idx="63">
                  <c:v>0.999570666151102</c:v>
                </c:pt>
                <c:pt idx="64">
                  <c:v>0.999614253244318</c:v>
                </c:pt>
                <c:pt idx="65">
                  <c:v>0.999653380648865</c:v>
                </c:pt>
                <c:pt idx="66">
                  <c:v>0.999688509023233</c:v>
                </c:pt>
                <c:pt idx="67">
                  <c:v>0.99972005088212</c:v>
                </c:pt>
                <c:pt idx="68">
                  <c:v>0.999748375701801</c:v>
                </c:pt>
                <c:pt idx="69">
                  <c:v>0.999773814474129</c:v>
                </c:pt>
                <c:pt idx="70">
                  <c:v>0.999796663770105</c:v>
                </c:pt>
                <c:pt idx="71">
                  <c:v>0.999817189367018</c:v>
                </c:pt>
                <c:pt idx="72">
                  <c:v>0.999835629487024</c:v>
                </c:pt>
                <c:pt idx="73">
                  <c:v>0.999852197689665</c:v>
                </c:pt>
                <c:pt idx="74">
                  <c:v>0.99986708545605</c:v>
                </c:pt>
                <c:pt idx="75">
                  <c:v>0.999880464498187</c:v>
                </c:pt>
                <c:pt idx="76">
                  <c:v>0.99989248882327</c:v>
                </c:pt>
                <c:pt idx="77">
                  <c:v>0.999903296579373</c:v>
                </c:pt>
                <c:pt idx="78">
                  <c:v>0.999913011706108</c:v>
                </c:pt>
                <c:pt idx="79">
                  <c:v>0.999921745411214</c:v>
                </c:pt>
                <c:pt idx="80">
                  <c:v>0.999929597491725</c:v>
                </c:pt>
                <c:pt idx="81">
                  <c:v>0.999936657516334</c:v>
                </c:pt>
                <c:pt idx="82">
                  <c:v>0.999943005883767</c:v>
                </c:pt>
                <c:pt idx="83">
                  <c:v>0.999948714770359</c:v>
                </c:pt>
                <c:pt idx="84">
                  <c:v>0.999953848978599</c:v>
                </c:pt>
                <c:pt idx="85">
                  <c:v>0.999958466697133</c:v>
                </c:pt>
                <c:pt idx="86">
                  <c:v>0.999962620181598</c:v>
                </c:pt>
                <c:pt idx="87">
                  <c:v>0.999966356364639</c:v>
                </c:pt>
                <c:pt idx="88">
                  <c:v>0.999969717402563</c:v>
                </c:pt>
                <c:pt idx="89">
                  <c:v>0.999972741165306</c:v>
                </c:pt>
                <c:pt idx="90">
                  <c:v>0.999975461675647</c:v>
                </c:pt>
                <c:pt idx="91">
                  <c:v>0.999977909503001</c:v>
                </c:pt>
                <c:pt idx="92">
                  <c:v>0.999980112116533</c:v>
                </c:pt>
                <c:pt idx="93">
                  <c:v>0.999982094201843</c:v>
                </c:pt>
                <c:pt idx="94">
                  <c:v>0.999983877945027</c:v>
                </c:pt>
                <c:pt idx="95">
                  <c:v>0.999985483287501</c:v>
                </c:pt>
                <c:pt idx="96">
                  <c:v>0.999986928154633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296744"/>
        <c:axId val="2099293576"/>
      </c:scatterChart>
      <c:valAx>
        <c:axId val="2099296744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099293576"/>
        <c:crosses val="autoZero"/>
        <c:crossBetween val="midCat"/>
      </c:valAx>
      <c:valAx>
        <c:axId val="2099293576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099296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1</xdr:row>
      <xdr:rowOff>0</xdr:rowOff>
    </xdr:from>
    <xdr:to>
      <xdr:col>28</xdr:col>
      <xdr:colOff>0</xdr:colOff>
      <xdr:row>21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114300</xdr:colOff>
      <xdr:row>22</xdr:row>
      <xdr:rowOff>139700</xdr:rowOff>
    </xdr:from>
    <xdr:to>
      <xdr:col>28</xdr:col>
      <xdr:colOff>12700</xdr:colOff>
      <xdr:row>45</xdr:row>
      <xdr:rowOff>127000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00"/>
  <sheetViews>
    <sheetView tabSelected="1" workbookViewId="0">
      <selection activeCell="F16" sqref="F16"/>
    </sheetView>
  </sheetViews>
  <sheetFormatPr baseColWidth="10" defaultRowHeight="15" x14ac:dyDescent="0"/>
  <cols>
    <col min="1" max="1" width="2.1640625" customWidth="1"/>
    <col min="4" max="4" width="2.5" customWidth="1"/>
    <col min="7" max="7" width="2.5" customWidth="1"/>
    <col min="10" max="10" width="2.1640625" customWidth="1"/>
    <col min="13" max="13" width="2.1640625" customWidth="1"/>
    <col min="16" max="16" width="2.1640625" customWidth="1"/>
  </cols>
  <sheetData>
    <row r="1" spans="2:18" ht="16">
      <c r="B1" s="8" t="s">
        <v>2</v>
      </c>
    </row>
    <row r="2" spans="2:18" ht="16">
      <c r="B2" s="8" t="s">
        <v>0</v>
      </c>
      <c r="C2" t="s">
        <v>1</v>
      </c>
      <c r="E2" s="3">
        <v>1</v>
      </c>
      <c r="H2" s="3">
        <v>2</v>
      </c>
      <c r="K2" s="3">
        <v>3</v>
      </c>
      <c r="N2" s="3">
        <v>4</v>
      </c>
      <c r="Q2" s="3">
        <v>5</v>
      </c>
    </row>
    <row r="3" spans="2:18">
      <c r="B3" s="1"/>
      <c r="C3" s="1"/>
      <c r="E3" s="1" t="str">
        <f>"Chi2(n="&amp;E2&amp;")-PDF"</f>
        <v>Chi2(n=1)-PDF</v>
      </c>
      <c r="F3" s="1" t="str">
        <f>"Chi2(n="&amp;E2&amp;")-CDF"</f>
        <v>Chi2(n=1)-CDF</v>
      </c>
      <c r="H3" s="1" t="str">
        <f>"Chi2(n="&amp;H2&amp;")-PDF"</f>
        <v>Chi2(n=2)-PDF</v>
      </c>
      <c r="I3" s="1" t="str">
        <f>"Chi2(n="&amp;H2&amp;")-CDF"</f>
        <v>Chi2(n=2)-CDF</v>
      </c>
      <c r="K3" s="1" t="str">
        <f>"Chi2(n="&amp;K2&amp;")-PDF"</f>
        <v>Chi2(n=3)-PDF</v>
      </c>
      <c r="L3" s="1" t="str">
        <f>"Chi2(n="&amp;K2&amp;")-CDF"</f>
        <v>Chi2(n=3)-CDF</v>
      </c>
      <c r="N3" s="1" t="str">
        <f>"Chi2(n="&amp;N2&amp;")-PDF"</f>
        <v>Chi2(n=4)-PDF</v>
      </c>
      <c r="O3" s="1" t="str">
        <f>"Chi2(n="&amp;N2&amp;")-CDF"</f>
        <v>Chi2(n=4)-CDF</v>
      </c>
      <c r="Q3" s="1" t="str">
        <f>"Chi2(n="&amp;Q2&amp;")-PDF"</f>
        <v>Chi2(n=5)-PDF</v>
      </c>
      <c r="R3" s="1" t="str">
        <f>"Chi2(n="&amp;Q2&amp;")-CDF"</f>
        <v>Chi2(n=5)-CDF</v>
      </c>
    </row>
    <row r="4" spans="2:18">
      <c r="B4">
        <v>1</v>
      </c>
      <c r="C4" s="4">
        <v>-0.2</v>
      </c>
      <c r="E4" s="6" t="e">
        <f>_xlfn.CHISQ.DIST($C4,E$2,0)</f>
        <v>#NUM!</v>
      </c>
      <c r="F4" s="6" t="e">
        <f>_xlfn.CHISQ.DIST($C4,E$2,1)</f>
        <v>#NUM!</v>
      </c>
      <c r="G4" s="6"/>
      <c r="H4" s="6" t="e">
        <f>_xlfn.CHISQ.DIST($C4,H$2,0)</f>
        <v>#NUM!</v>
      </c>
      <c r="I4" s="6" t="e">
        <f>_xlfn.CHISQ.DIST($C4,H$2,1)</f>
        <v>#NUM!</v>
      </c>
      <c r="J4" s="6"/>
      <c r="K4" s="6" t="e">
        <f>_xlfn.CHISQ.DIST($C4,K$2,0)</f>
        <v>#NUM!</v>
      </c>
      <c r="L4" s="6" t="e">
        <f>_xlfn.CHISQ.DIST($C4,K$2,1)</f>
        <v>#NUM!</v>
      </c>
      <c r="M4" s="6"/>
      <c r="N4" s="6" t="e">
        <f>_xlfn.CHISQ.DIST($C4,N$2,0)</f>
        <v>#NUM!</v>
      </c>
      <c r="O4" s="6" t="e">
        <f>_xlfn.CHISQ.DIST($C4,N$2,1)</f>
        <v>#NUM!</v>
      </c>
      <c r="P4" s="6"/>
      <c r="Q4" s="6" t="e">
        <f>_xlfn.CHISQ.DIST($C4,Q$2,0)</f>
        <v>#NUM!</v>
      </c>
      <c r="R4" s="6" t="e">
        <f>_xlfn.CHISQ.DIST($C4,Q$2,1)</f>
        <v>#NUM!</v>
      </c>
    </row>
    <row r="5" spans="2:18">
      <c r="B5" s="2">
        <f t="shared" ref="B5:B10" si="0">B4+1</f>
        <v>2</v>
      </c>
      <c r="C5" s="5">
        <f t="shared" ref="C5:C10" si="1">C4+0.2</f>
        <v>0</v>
      </c>
      <c r="D5" s="2"/>
      <c r="E5" s="7" t="e">
        <f t="shared" ref="E5:E68" si="2">_xlfn.CHISQ.DIST($C5,E$2,0)</f>
        <v>#NUM!</v>
      </c>
      <c r="F5" s="7">
        <f t="shared" ref="F5:F68" si="3">_xlfn.CHISQ.DIST($C5,E$2,1)</f>
        <v>0</v>
      </c>
      <c r="G5" s="7"/>
      <c r="H5" s="7">
        <f t="shared" ref="H5:H68" si="4">_xlfn.CHISQ.DIST($C5,H$2,0)</f>
        <v>0.5</v>
      </c>
      <c r="I5" s="7">
        <f t="shared" ref="I5:I68" si="5">_xlfn.CHISQ.DIST($C5,H$2,1)</f>
        <v>0</v>
      </c>
      <c r="J5" s="7"/>
      <c r="K5" s="7">
        <f t="shared" ref="K5:K68" si="6">_xlfn.CHISQ.DIST($C5,K$2,0)</f>
        <v>0</v>
      </c>
      <c r="L5" s="7">
        <f t="shared" ref="L5:L68" si="7">_xlfn.CHISQ.DIST($C5,K$2,1)</f>
        <v>0</v>
      </c>
      <c r="M5" s="7"/>
      <c r="N5" s="7">
        <f t="shared" ref="N5:N68" si="8">_xlfn.CHISQ.DIST($C5,N$2,0)</f>
        <v>0</v>
      </c>
      <c r="O5" s="7">
        <f t="shared" ref="O5:O68" si="9">_xlfn.CHISQ.DIST($C5,N$2,1)</f>
        <v>0</v>
      </c>
      <c r="P5" s="7"/>
      <c r="Q5" s="7">
        <f t="shared" ref="Q5:Q68" si="10">_xlfn.CHISQ.DIST($C5,Q$2,0)</f>
        <v>0</v>
      </c>
      <c r="R5" s="7">
        <f t="shared" ref="R5:R68" si="11">_xlfn.CHISQ.DIST($C5,Q$2,1)</f>
        <v>0</v>
      </c>
    </row>
    <row r="6" spans="2:18">
      <c r="B6">
        <f t="shared" si="0"/>
        <v>3</v>
      </c>
      <c r="C6" s="4">
        <f t="shared" si="1"/>
        <v>0.2</v>
      </c>
      <c r="E6" s="6">
        <f t="shared" si="2"/>
        <v>0.80717112935768098</v>
      </c>
      <c r="F6" s="6">
        <f t="shared" si="3"/>
        <v>0.34527915398142295</v>
      </c>
      <c r="G6" s="6"/>
      <c r="H6" s="6">
        <f t="shared" si="4"/>
        <v>0.45241870901797987</v>
      </c>
      <c r="I6" s="6">
        <f t="shared" si="5"/>
        <v>9.5162581964040427E-2</v>
      </c>
      <c r="J6" s="6"/>
      <c r="K6" s="6">
        <f t="shared" si="6"/>
        <v>0.16143422587153616</v>
      </c>
      <c r="L6" s="6">
        <f t="shared" si="7"/>
        <v>2.2410702238350608E-2</v>
      </c>
      <c r="M6" s="6"/>
      <c r="N6" s="6">
        <f t="shared" si="8"/>
        <v>4.5241870901797994E-2</v>
      </c>
      <c r="O6" s="6">
        <f t="shared" si="9"/>
        <v>4.6788401604444712E-3</v>
      </c>
      <c r="P6" s="6"/>
      <c r="Q6" s="6">
        <f t="shared" si="10"/>
        <v>1.0762281724769087E-2</v>
      </c>
      <c r="R6" s="6">
        <f t="shared" si="11"/>
        <v>8.8613878881244328E-4</v>
      </c>
    </row>
    <row r="7" spans="2:18">
      <c r="B7">
        <f t="shared" si="0"/>
        <v>4</v>
      </c>
      <c r="C7" s="4">
        <f t="shared" si="1"/>
        <v>0.4</v>
      </c>
      <c r="E7" s="6">
        <f t="shared" si="2"/>
        <v>0.51644154746727833</v>
      </c>
      <c r="F7" s="6">
        <f t="shared" si="3"/>
        <v>0.47291074313446196</v>
      </c>
      <c r="G7" s="6"/>
      <c r="H7" s="6">
        <f t="shared" si="4"/>
        <v>0.40936537653899097</v>
      </c>
      <c r="I7" s="6">
        <f t="shared" si="5"/>
        <v>0.18126924692201815</v>
      </c>
      <c r="J7" s="6"/>
      <c r="K7" s="6">
        <f t="shared" si="6"/>
        <v>0.20657661898691138</v>
      </c>
      <c r="L7" s="6">
        <f t="shared" si="7"/>
        <v>5.9757505160639275E-2</v>
      </c>
      <c r="M7" s="6"/>
      <c r="N7" s="6">
        <f t="shared" si="8"/>
        <v>8.1873075307798193E-2</v>
      </c>
      <c r="O7" s="6">
        <f t="shared" si="9"/>
        <v>1.7523096306421772E-2</v>
      </c>
      <c r="P7" s="6"/>
      <c r="Q7" s="6">
        <f t="shared" si="10"/>
        <v>2.7543549198254847E-2</v>
      </c>
      <c r="R7" s="6">
        <f t="shared" si="11"/>
        <v>4.6704067641295732E-3</v>
      </c>
    </row>
    <row r="8" spans="2:18">
      <c r="B8">
        <f t="shared" si="0"/>
        <v>5</v>
      </c>
      <c r="C8" s="4">
        <f t="shared" si="1"/>
        <v>0.60000000000000009</v>
      </c>
      <c r="E8" s="6">
        <f t="shared" si="2"/>
        <v>0.38154528938409293</v>
      </c>
      <c r="F8" s="6">
        <f t="shared" si="3"/>
        <v>0.56142197391900028</v>
      </c>
      <c r="G8" s="6"/>
      <c r="H8" s="6">
        <f t="shared" si="4"/>
        <v>0.37040911034085894</v>
      </c>
      <c r="I8" s="6">
        <f t="shared" si="5"/>
        <v>0.25918177931828218</v>
      </c>
      <c r="J8" s="6"/>
      <c r="K8" s="6">
        <f t="shared" si="6"/>
        <v>0.22892717363045578</v>
      </c>
      <c r="L8" s="6">
        <f t="shared" si="7"/>
        <v>0.10356762665808858</v>
      </c>
      <c r="M8" s="6"/>
      <c r="N8" s="6">
        <f t="shared" si="8"/>
        <v>0.11112273310225769</v>
      </c>
      <c r="O8" s="6">
        <f t="shared" si="9"/>
        <v>3.6936313113766786E-2</v>
      </c>
      <c r="P8" s="6"/>
      <c r="Q8" s="6">
        <f t="shared" si="10"/>
        <v>4.5785434726091159E-2</v>
      </c>
      <c r="R8" s="6">
        <f t="shared" si="11"/>
        <v>1.199675720590627E-2</v>
      </c>
    </row>
    <row r="9" spans="2:18">
      <c r="B9">
        <f t="shared" si="0"/>
        <v>6</v>
      </c>
      <c r="C9" s="4">
        <f t="shared" si="1"/>
        <v>0.8</v>
      </c>
      <c r="E9" s="6">
        <f t="shared" si="2"/>
        <v>0.29898353991820498</v>
      </c>
      <c r="F9" s="6">
        <f t="shared" si="3"/>
        <v>0.62890663047730233</v>
      </c>
      <c r="G9" s="6"/>
      <c r="H9" s="6">
        <f t="shared" si="4"/>
        <v>0.33516002301781966</v>
      </c>
      <c r="I9" s="6">
        <f t="shared" si="5"/>
        <v>0.32967995396436073</v>
      </c>
      <c r="J9" s="6"/>
      <c r="K9" s="6">
        <f t="shared" si="6"/>
        <v>0.23918683193456394</v>
      </c>
      <c r="L9" s="6">
        <f t="shared" si="7"/>
        <v>0.15053296660817445</v>
      </c>
      <c r="M9" s="6"/>
      <c r="N9" s="6">
        <f t="shared" si="8"/>
        <v>0.13406400920712785</v>
      </c>
      <c r="O9" s="6">
        <f t="shared" si="9"/>
        <v>6.1551935550104991E-2</v>
      </c>
      <c r="P9" s="6"/>
      <c r="Q9" s="6">
        <f t="shared" si="10"/>
        <v>6.3783155182550413E-2</v>
      </c>
      <c r="R9" s="6">
        <f t="shared" si="11"/>
        <v>2.296665624307373E-2</v>
      </c>
    </row>
    <row r="10" spans="2:18">
      <c r="B10" s="2">
        <f t="shared" si="0"/>
        <v>7</v>
      </c>
      <c r="C10" s="5">
        <f t="shared" si="1"/>
        <v>1</v>
      </c>
      <c r="D10" s="2"/>
      <c r="E10" s="7">
        <f t="shared" si="2"/>
        <v>0.24197072451914334</v>
      </c>
      <c r="F10" s="7">
        <f t="shared" si="3"/>
        <v>0.68268949213708607</v>
      </c>
      <c r="G10" s="7"/>
      <c r="H10" s="7">
        <f t="shared" si="4"/>
        <v>0.30326532985631671</v>
      </c>
      <c r="I10" s="7">
        <f t="shared" si="5"/>
        <v>0.39346934028736658</v>
      </c>
      <c r="J10" s="7"/>
      <c r="K10" s="7">
        <f t="shared" si="6"/>
        <v>0.24197072451914337</v>
      </c>
      <c r="L10" s="7">
        <f t="shared" si="7"/>
        <v>0.19874804309879915</v>
      </c>
      <c r="M10" s="7"/>
      <c r="N10" s="7">
        <f t="shared" si="8"/>
        <v>0.15163266492815836</v>
      </c>
      <c r="O10" s="7">
        <f t="shared" si="9"/>
        <v>9.0204010431049864E-2</v>
      </c>
      <c r="P10" s="7"/>
      <c r="Q10" s="7">
        <f t="shared" si="10"/>
        <v>8.0656908173047784E-2</v>
      </c>
      <c r="R10" s="7">
        <f t="shared" si="11"/>
        <v>3.7434226752703616E-2</v>
      </c>
    </row>
    <row r="11" spans="2:18">
      <c r="B11">
        <f t="shared" ref="B11:B50" si="12">B10+1</f>
        <v>8</v>
      </c>
      <c r="C11" s="4">
        <f t="shared" ref="C11:C16" si="13">C10+0.2</f>
        <v>1.2</v>
      </c>
      <c r="E11" s="6">
        <f t="shared" si="2"/>
        <v>0.19986776390173328</v>
      </c>
      <c r="F11" s="6">
        <f t="shared" si="3"/>
        <v>0.72667832170770197</v>
      </c>
      <c r="G11" s="6"/>
      <c r="H11" s="6">
        <f t="shared" si="4"/>
        <v>0.27440581804701319</v>
      </c>
      <c r="I11" s="6">
        <f t="shared" si="5"/>
        <v>0.4511883639059735</v>
      </c>
      <c r="J11" s="6"/>
      <c r="K11" s="6">
        <f t="shared" si="6"/>
        <v>0.23984131668207992</v>
      </c>
      <c r="L11" s="6">
        <f t="shared" si="7"/>
        <v>0.24699568834354202</v>
      </c>
      <c r="M11" s="6"/>
      <c r="N11" s="6">
        <f t="shared" si="8"/>
        <v>0.16464349082820789</v>
      </c>
      <c r="O11" s="6">
        <f t="shared" si="9"/>
        <v>0.12190138224955763</v>
      </c>
      <c r="P11" s="6"/>
      <c r="Q11" s="6">
        <f t="shared" si="10"/>
        <v>9.5936526672831951E-2</v>
      </c>
      <c r="R11" s="6">
        <f t="shared" si="11"/>
        <v>5.5122634997878069E-2</v>
      </c>
    </row>
    <row r="12" spans="2:18">
      <c r="B12">
        <f t="shared" si="12"/>
        <v>9</v>
      </c>
      <c r="C12" s="4">
        <f t="shared" si="13"/>
        <v>1.4</v>
      </c>
      <c r="E12" s="6">
        <f t="shared" si="2"/>
        <v>0.1674325573450835</v>
      </c>
      <c r="F12" s="6">
        <f t="shared" si="3"/>
        <v>0.76327642936214268</v>
      </c>
      <c r="G12" s="6"/>
      <c r="H12" s="6">
        <f t="shared" si="4"/>
        <v>0.24829265189570476</v>
      </c>
      <c r="I12" s="6">
        <f t="shared" si="5"/>
        <v>0.50341469620859047</v>
      </c>
      <c r="J12" s="6"/>
      <c r="K12" s="6">
        <f t="shared" si="6"/>
        <v>0.23440558028311687</v>
      </c>
      <c r="L12" s="6">
        <f t="shared" si="7"/>
        <v>0.29446526879590879</v>
      </c>
      <c r="M12" s="6"/>
      <c r="N12" s="6">
        <f t="shared" si="8"/>
        <v>0.1738048563269933</v>
      </c>
      <c r="O12" s="6">
        <f t="shared" si="9"/>
        <v>0.15580498355460379</v>
      </c>
      <c r="P12" s="6"/>
      <c r="Q12" s="6">
        <f t="shared" si="10"/>
        <v>0.10938927079878788</v>
      </c>
      <c r="R12" s="6">
        <f t="shared" si="11"/>
        <v>7.5686727198333054E-2</v>
      </c>
    </row>
    <row r="13" spans="2:18">
      <c r="B13">
        <f t="shared" si="12"/>
        <v>10</v>
      </c>
      <c r="C13" s="4">
        <f t="shared" si="13"/>
        <v>1.5999999999999999</v>
      </c>
      <c r="E13" s="6">
        <f t="shared" si="2"/>
        <v>0.14171456530622389</v>
      </c>
      <c r="F13" s="6">
        <f t="shared" si="3"/>
        <v>0.7940967892679317</v>
      </c>
      <c r="G13" s="6"/>
      <c r="H13" s="6">
        <f t="shared" si="4"/>
        <v>0.22466448205861078</v>
      </c>
      <c r="I13" s="6">
        <f t="shared" si="5"/>
        <v>0.55067103588277844</v>
      </c>
      <c r="J13" s="6"/>
      <c r="K13" s="6">
        <f t="shared" si="6"/>
        <v>0.22674330448995825</v>
      </c>
      <c r="L13" s="6">
        <f t="shared" si="7"/>
        <v>0.34061018028801504</v>
      </c>
      <c r="M13" s="6"/>
      <c r="N13" s="6">
        <f t="shared" si="8"/>
        <v>0.17973158564688857</v>
      </c>
      <c r="O13" s="6">
        <f t="shared" si="9"/>
        <v>0.19120786458900102</v>
      </c>
      <c r="P13" s="6"/>
      <c r="Q13" s="6">
        <f t="shared" si="10"/>
        <v>0.1209297623946444</v>
      </c>
      <c r="R13" s="6">
        <f t="shared" si="11"/>
        <v>9.8750655498726345E-2</v>
      </c>
    </row>
    <row r="14" spans="2:18">
      <c r="B14">
        <f t="shared" si="12"/>
        <v>11</v>
      </c>
      <c r="C14" s="4">
        <f t="shared" si="13"/>
        <v>1.7999999999999998</v>
      </c>
      <c r="E14" s="6">
        <f t="shared" si="2"/>
        <v>0.12089512247320489</v>
      </c>
      <c r="F14" s="6">
        <f t="shared" si="3"/>
        <v>0.82028750512100013</v>
      </c>
      <c r="G14" s="6"/>
      <c r="H14" s="6">
        <f t="shared" si="4"/>
        <v>0.20328482987029955</v>
      </c>
      <c r="I14" s="6">
        <f t="shared" si="5"/>
        <v>0.59343034025940078</v>
      </c>
      <c r="J14" s="6"/>
      <c r="K14" s="6">
        <f t="shared" si="6"/>
        <v>0.21761122045176876</v>
      </c>
      <c r="L14" s="6">
        <f t="shared" si="7"/>
        <v>0.38506506421746245</v>
      </c>
      <c r="M14" s="6"/>
      <c r="N14" s="6">
        <f t="shared" si="8"/>
        <v>0.18295634688326956</v>
      </c>
      <c r="O14" s="6">
        <f t="shared" si="9"/>
        <v>0.22751764649286163</v>
      </c>
      <c r="P14" s="6"/>
      <c r="Q14" s="6">
        <f t="shared" si="10"/>
        <v>0.13056673227106125</v>
      </c>
      <c r="R14" s="6">
        <f t="shared" si="11"/>
        <v>0.12393159967533998</v>
      </c>
    </row>
    <row r="15" spans="2:18">
      <c r="B15" s="2">
        <f t="shared" si="12"/>
        <v>12</v>
      </c>
      <c r="C15" s="5">
        <f t="shared" si="13"/>
        <v>1.9999999999999998</v>
      </c>
      <c r="D15" s="2"/>
      <c r="E15" s="7">
        <f t="shared" si="2"/>
        <v>0.10377687435514868</v>
      </c>
      <c r="F15" s="7">
        <f t="shared" si="3"/>
        <v>0.84270079294971489</v>
      </c>
      <c r="G15" s="7"/>
      <c r="H15" s="7">
        <f t="shared" si="4"/>
        <v>0.18393972058572117</v>
      </c>
      <c r="I15" s="7">
        <f t="shared" si="5"/>
        <v>0.63212055882855767</v>
      </c>
      <c r="J15" s="7"/>
      <c r="K15" s="7">
        <f t="shared" si="6"/>
        <v>0.20755374871029739</v>
      </c>
      <c r="L15" s="7">
        <f t="shared" si="7"/>
        <v>0.42759329552912018</v>
      </c>
      <c r="M15" s="7"/>
      <c r="N15" s="7">
        <f t="shared" si="8"/>
        <v>0.18393972058572111</v>
      </c>
      <c r="O15" s="7">
        <f t="shared" si="9"/>
        <v>0.26424111765711517</v>
      </c>
      <c r="P15" s="7"/>
      <c r="Q15" s="7">
        <f t="shared" si="10"/>
        <v>0.1383691658068649</v>
      </c>
      <c r="R15" s="7">
        <f t="shared" si="11"/>
        <v>0.15085496391539033</v>
      </c>
    </row>
    <row r="16" spans="2:18">
      <c r="B16">
        <f t="shared" si="12"/>
        <v>13</v>
      </c>
      <c r="C16" s="4">
        <f t="shared" si="13"/>
        <v>2.1999999999999997</v>
      </c>
      <c r="E16" s="6">
        <f t="shared" si="2"/>
        <v>8.9531280373142924E-2</v>
      </c>
      <c r="F16" s="6">
        <f t="shared" si="3"/>
        <v>0.86198926243134033</v>
      </c>
      <c r="G16" s="6"/>
      <c r="H16" s="6">
        <f t="shared" si="4"/>
        <v>0.1664355418490398</v>
      </c>
      <c r="I16" s="6">
        <f t="shared" si="5"/>
        <v>0.66712891630192039</v>
      </c>
      <c r="J16" s="6"/>
      <c r="K16" s="6">
        <f t="shared" si="6"/>
        <v>0.19696881682091444</v>
      </c>
      <c r="L16" s="6">
        <f t="shared" si="7"/>
        <v>0.46805162878951168</v>
      </c>
      <c r="M16" s="6"/>
      <c r="N16" s="6">
        <f t="shared" si="8"/>
        <v>0.18307909603394376</v>
      </c>
      <c r="O16" s="6">
        <f t="shared" si="9"/>
        <v>0.30097072423403282</v>
      </c>
      <c r="P16" s="6"/>
      <c r="Q16" s="6">
        <f t="shared" si="10"/>
        <v>0.14444379900200391</v>
      </c>
      <c r="R16" s="6">
        <f t="shared" si="11"/>
        <v>0.17916403078550378</v>
      </c>
    </row>
    <row r="17" spans="2:18">
      <c r="B17">
        <f t="shared" si="12"/>
        <v>14</v>
      </c>
      <c r="C17" s="4">
        <f t="shared" ref="C17:C50" si="14">C16+0.2</f>
        <v>2.4</v>
      </c>
      <c r="E17" s="6">
        <f t="shared" si="2"/>
        <v>7.7562369240259554E-2</v>
      </c>
      <c r="F17" s="6">
        <f t="shared" si="3"/>
        <v>0.87866474964151786</v>
      </c>
      <c r="G17" s="6"/>
      <c r="H17" s="6">
        <f t="shared" si="4"/>
        <v>0.15059710595610104</v>
      </c>
      <c r="I17" s="6">
        <f t="shared" si="5"/>
        <v>0.69880578808779781</v>
      </c>
      <c r="J17" s="6"/>
      <c r="K17" s="6">
        <f t="shared" si="6"/>
        <v>0.18614968617662297</v>
      </c>
      <c r="L17" s="6">
        <f t="shared" si="7"/>
        <v>0.50636537728827213</v>
      </c>
      <c r="M17" s="6"/>
      <c r="N17" s="6">
        <f t="shared" si="8"/>
        <v>0.18071652714732128</v>
      </c>
      <c r="O17" s="6">
        <f t="shared" si="9"/>
        <v>0.33737273379315535</v>
      </c>
      <c r="P17" s="6"/>
      <c r="Q17" s="6">
        <f t="shared" si="10"/>
        <v>0.14891974894129834</v>
      </c>
      <c r="R17" s="6">
        <f t="shared" si="11"/>
        <v>0.20852587940567527</v>
      </c>
    </row>
    <row r="18" spans="2:18">
      <c r="B18">
        <f t="shared" si="12"/>
        <v>15</v>
      </c>
      <c r="C18" s="4">
        <f t="shared" si="14"/>
        <v>2.6</v>
      </c>
      <c r="E18" s="6">
        <f t="shared" si="2"/>
        <v>6.7428044593231554E-2</v>
      </c>
      <c r="F18" s="6">
        <f t="shared" si="3"/>
        <v>0.89313628500662057</v>
      </c>
      <c r="G18" s="6"/>
      <c r="H18" s="6">
        <f t="shared" si="4"/>
        <v>0.1362658965170063</v>
      </c>
      <c r="I18" s="6">
        <f t="shared" si="5"/>
        <v>0.72746820696598746</v>
      </c>
      <c r="J18" s="6"/>
      <c r="K18" s="6">
        <f t="shared" si="6"/>
        <v>0.17531291594240214</v>
      </c>
      <c r="L18" s="6">
        <f t="shared" si="7"/>
        <v>0.54251045312181667</v>
      </c>
      <c r="M18" s="6"/>
      <c r="N18" s="6">
        <f t="shared" si="8"/>
        <v>0.17714566547210825</v>
      </c>
      <c r="O18" s="6">
        <f t="shared" si="9"/>
        <v>0.37317687602177113</v>
      </c>
      <c r="P18" s="6"/>
      <c r="Q18" s="6">
        <f t="shared" si="10"/>
        <v>0.1519378604834152</v>
      </c>
      <c r="R18" s="6">
        <f t="shared" si="11"/>
        <v>0.23863473215498615</v>
      </c>
    </row>
    <row r="19" spans="2:18">
      <c r="B19">
        <f t="shared" si="12"/>
        <v>16</v>
      </c>
      <c r="C19" s="4">
        <f t="shared" si="14"/>
        <v>2.8000000000000003</v>
      </c>
      <c r="E19" s="6">
        <f t="shared" si="2"/>
        <v>5.8792073252544458E-2</v>
      </c>
      <c r="F19" s="6">
        <f t="shared" si="3"/>
        <v>0.90573569315878966</v>
      </c>
      <c r="G19" s="6"/>
      <c r="H19" s="6">
        <f t="shared" si="4"/>
        <v>0.12329848197080322</v>
      </c>
      <c r="I19" s="6">
        <f t="shared" si="5"/>
        <v>0.75340303605839354</v>
      </c>
      <c r="J19" s="6"/>
      <c r="K19" s="6">
        <f t="shared" si="6"/>
        <v>0.16461780510712459</v>
      </c>
      <c r="L19" s="6">
        <f t="shared" si="7"/>
        <v>0.5765000829445408</v>
      </c>
      <c r="M19" s="6"/>
      <c r="N19" s="6">
        <f t="shared" si="8"/>
        <v>0.17261787475912455</v>
      </c>
      <c r="O19" s="6">
        <f t="shared" si="9"/>
        <v>0.40816728654014461</v>
      </c>
      <c r="P19" s="6"/>
      <c r="Q19" s="6">
        <f t="shared" si="10"/>
        <v>0.15364328476664962</v>
      </c>
      <c r="R19" s="6">
        <f t="shared" si="11"/>
        <v>0.26921351341124156</v>
      </c>
    </row>
    <row r="20" spans="2:18">
      <c r="B20" s="2">
        <f t="shared" ref="B20:B25" si="15">B19+1</f>
        <v>17</v>
      </c>
      <c r="C20" s="5">
        <f t="shared" si="14"/>
        <v>3.0000000000000004</v>
      </c>
      <c r="D20" s="2"/>
      <c r="E20" s="7">
        <f t="shared" si="2"/>
        <v>5.139344326792307E-2</v>
      </c>
      <c r="F20" s="7">
        <f t="shared" si="3"/>
        <v>0.91673548333644961</v>
      </c>
      <c r="G20" s="7"/>
      <c r="H20" s="7">
        <f t="shared" si="4"/>
        <v>0.1115650800742149</v>
      </c>
      <c r="I20" s="7">
        <f t="shared" si="5"/>
        <v>0.77686983985157021</v>
      </c>
      <c r="J20" s="7"/>
      <c r="K20" s="7">
        <f t="shared" si="6"/>
        <v>0.15418032980376931</v>
      </c>
      <c r="L20" s="7">
        <f t="shared" si="7"/>
        <v>0.60837482372891116</v>
      </c>
      <c r="M20" s="7"/>
      <c r="N20" s="7">
        <f t="shared" si="8"/>
        <v>0.1673476201113224</v>
      </c>
      <c r="O20" s="7">
        <f t="shared" si="9"/>
        <v>0.44217459962892547</v>
      </c>
      <c r="P20" s="7"/>
      <c r="Q20" s="7">
        <f t="shared" si="10"/>
        <v>0.15418032980376931</v>
      </c>
      <c r="R20" s="7">
        <f t="shared" si="11"/>
        <v>0.30001416412137261</v>
      </c>
    </row>
    <row r="21" spans="2:18">
      <c r="B21">
        <f t="shared" si="15"/>
        <v>18</v>
      </c>
      <c r="C21" s="4">
        <f t="shared" si="14"/>
        <v>3.2000000000000006</v>
      </c>
      <c r="E21" s="6">
        <f t="shared" si="2"/>
        <v>4.5026055840192064E-2</v>
      </c>
      <c r="F21" s="6">
        <f t="shared" si="3"/>
        <v>0.92636172987969734</v>
      </c>
      <c r="G21" s="6"/>
      <c r="H21" s="6">
        <f t="shared" si="4"/>
        <v>0.10094825899732768</v>
      </c>
      <c r="I21" s="6">
        <f t="shared" si="5"/>
        <v>0.79810348200534464</v>
      </c>
      <c r="J21" s="6"/>
      <c r="K21" s="6">
        <f t="shared" si="6"/>
        <v>0.14408337868861468</v>
      </c>
      <c r="L21" s="6">
        <f t="shared" si="7"/>
        <v>0.63819497250246815</v>
      </c>
      <c r="M21" s="6"/>
      <c r="N21" s="6">
        <f t="shared" si="8"/>
        <v>0.16151721439572436</v>
      </c>
      <c r="O21" s="6">
        <f t="shared" si="9"/>
        <v>0.47506905321389609</v>
      </c>
      <c r="P21" s="6"/>
      <c r="Q21" s="6">
        <f t="shared" si="10"/>
        <v>0.15368893726785568</v>
      </c>
      <c r="R21" s="6">
        <f t="shared" si="11"/>
        <v>0.33081709796675696</v>
      </c>
    </row>
    <row r="22" spans="2:18">
      <c r="B22">
        <f t="shared" si="15"/>
        <v>19</v>
      </c>
      <c r="C22" s="4">
        <f t="shared" si="14"/>
        <v>3.4000000000000008</v>
      </c>
      <c r="E22" s="6">
        <f t="shared" si="2"/>
        <v>3.9524827942945637E-2</v>
      </c>
      <c r="F22" s="6">
        <f t="shared" si="3"/>
        <v>0.93480358092186999</v>
      </c>
      <c r="G22" s="6"/>
      <c r="H22" s="6">
        <f t="shared" si="4"/>
        <v>9.1341762026367276E-2</v>
      </c>
      <c r="I22" s="6">
        <f t="shared" si="5"/>
        <v>0.81731647594726542</v>
      </c>
      <c r="J22" s="6"/>
      <c r="K22" s="6">
        <f t="shared" si="6"/>
        <v>0.13438441500601522</v>
      </c>
      <c r="L22" s="6">
        <f t="shared" si="7"/>
        <v>0.66603475090983966</v>
      </c>
      <c r="M22" s="6"/>
      <c r="N22" s="6">
        <f t="shared" si="8"/>
        <v>0.15528099544482449</v>
      </c>
      <c r="O22" s="6">
        <f t="shared" si="9"/>
        <v>0.50675448505761678</v>
      </c>
      <c r="P22" s="6"/>
      <c r="Q22" s="6">
        <f t="shared" si="10"/>
        <v>0.15230233700681731</v>
      </c>
      <c r="R22" s="6">
        <f t="shared" si="11"/>
        <v>0.36143007689620515</v>
      </c>
    </row>
    <row r="23" spans="2:18">
      <c r="B23">
        <f t="shared" si="15"/>
        <v>20</v>
      </c>
      <c r="C23" s="4">
        <f t="shared" si="14"/>
        <v>3.600000000000001</v>
      </c>
      <c r="E23" s="6">
        <f t="shared" si="2"/>
        <v>3.475591672713832E-2</v>
      </c>
      <c r="F23" s="6">
        <f t="shared" si="3"/>
        <v>0.94222042887640278</v>
      </c>
      <c r="G23" s="6"/>
      <c r="H23" s="6">
        <f t="shared" si="4"/>
        <v>8.2649444110793224E-2</v>
      </c>
      <c r="I23" s="6">
        <f t="shared" si="5"/>
        <v>0.83470111177841355</v>
      </c>
      <c r="J23" s="6"/>
      <c r="K23" s="6">
        <f t="shared" si="6"/>
        <v>0.12512130021769807</v>
      </c>
      <c r="L23" s="6">
        <f t="shared" si="7"/>
        <v>0.69197782844100675</v>
      </c>
      <c r="M23" s="6"/>
      <c r="N23" s="6">
        <f t="shared" si="8"/>
        <v>0.14876899939942786</v>
      </c>
      <c r="O23" s="6">
        <f t="shared" si="9"/>
        <v>0.53716311297955788</v>
      </c>
      <c r="P23" s="6"/>
      <c r="Q23" s="6">
        <f t="shared" si="10"/>
        <v>0.15014556026123771</v>
      </c>
      <c r="R23" s="6">
        <f t="shared" si="11"/>
        <v>0.39168670791853155</v>
      </c>
    </row>
    <row r="24" spans="2:18">
      <c r="B24">
        <f t="shared" si="15"/>
        <v>21</v>
      </c>
      <c r="C24" s="4">
        <f t="shared" si="14"/>
        <v>3.8000000000000012</v>
      </c>
      <c r="E24" s="6">
        <f t="shared" si="2"/>
        <v>3.060967735558652E-2</v>
      </c>
      <c r="F24" s="6">
        <f t="shared" si="3"/>
        <v>0.94874741714263056</v>
      </c>
      <c r="G24" s="6"/>
      <c r="H24" s="6">
        <f t="shared" si="4"/>
        <v>7.4784309611317476E-2</v>
      </c>
      <c r="I24" s="6">
        <f t="shared" si="5"/>
        <v>0.85043138077736502</v>
      </c>
      <c r="J24" s="6"/>
      <c r="K24" s="6">
        <f t="shared" si="6"/>
        <v>0.11631677395122887</v>
      </c>
      <c r="L24" s="6">
        <f t="shared" si="7"/>
        <v>0.71611386924017284</v>
      </c>
      <c r="M24" s="6"/>
      <c r="N24" s="6">
        <f t="shared" si="8"/>
        <v>0.1420901882615033</v>
      </c>
      <c r="O24" s="6">
        <f t="shared" si="9"/>
        <v>0.56625100425435859</v>
      </c>
      <c r="P24" s="6"/>
      <c r="Q24" s="6">
        <f t="shared" si="10"/>
        <v>0.1473345803382233</v>
      </c>
      <c r="R24" s="6">
        <f t="shared" si="11"/>
        <v>0.42144470856372668</v>
      </c>
    </row>
    <row r="25" spans="2:18">
      <c r="B25" s="2">
        <f t="shared" si="15"/>
        <v>22</v>
      </c>
      <c r="C25" s="5">
        <f t="shared" si="14"/>
        <v>4.0000000000000009</v>
      </c>
      <c r="D25" s="2"/>
      <c r="E25" s="7">
        <f t="shared" si="2"/>
        <v>2.6995483256594007E-2</v>
      </c>
      <c r="F25" s="7">
        <f t="shared" si="3"/>
        <v>0.95449973610364158</v>
      </c>
      <c r="G25" s="7"/>
      <c r="H25" s="7">
        <f t="shared" si="4"/>
        <v>6.766764161830631E-2</v>
      </c>
      <c r="I25" s="7">
        <f t="shared" si="5"/>
        <v>0.86466471676338741</v>
      </c>
      <c r="J25" s="7"/>
      <c r="K25" s="7">
        <f t="shared" si="6"/>
        <v>0.10798193302637608</v>
      </c>
      <c r="L25" s="7">
        <f t="shared" si="7"/>
        <v>0.7385358700508895</v>
      </c>
      <c r="M25" s="7"/>
      <c r="N25" s="7">
        <f t="shared" si="8"/>
        <v>0.1353352832366127</v>
      </c>
      <c r="O25" s="7">
        <f t="shared" si="9"/>
        <v>0.593994150290162</v>
      </c>
      <c r="P25" s="7"/>
      <c r="Q25" s="7">
        <f t="shared" si="10"/>
        <v>0.14397591070183485</v>
      </c>
      <c r="R25" s="7">
        <f t="shared" si="11"/>
        <v>0.45058404864722007</v>
      </c>
    </row>
    <row r="26" spans="2:18">
      <c r="B26">
        <f t="shared" si="12"/>
        <v>23</v>
      </c>
      <c r="C26" s="4">
        <f t="shared" si="14"/>
        <v>4.2000000000000011</v>
      </c>
      <c r="E26" s="6">
        <f t="shared" si="2"/>
        <v>2.3837845937226987E-2</v>
      </c>
      <c r="F26" s="6">
        <f t="shared" si="3"/>
        <v>0.95957602066309144</v>
      </c>
      <c r="G26" s="6"/>
      <c r="H26" s="6">
        <f t="shared" si="4"/>
        <v>6.1228214126490925E-2</v>
      </c>
      <c r="I26" s="6">
        <f t="shared" si="5"/>
        <v>0.87754357174701814</v>
      </c>
      <c r="J26" s="6"/>
      <c r="K26" s="6">
        <f t="shared" si="6"/>
        <v>0.10011895293635339</v>
      </c>
      <c r="L26" s="6">
        <f t="shared" si="7"/>
        <v>0.75933811479038471</v>
      </c>
      <c r="M26" s="6"/>
      <c r="N26" s="6">
        <f t="shared" si="8"/>
        <v>0.128579249665631</v>
      </c>
      <c r="O26" s="6">
        <f t="shared" si="9"/>
        <v>0.62038507241575624</v>
      </c>
      <c r="P26" s="6"/>
      <c r="Q26" s="6">
        <f t="shared" si="10"/>
        <v>0.14016653411089483</v>
      </c>
      <c r="R26" s="6">
        <f t="shared" si="11"/>
        <v>0.47900504656859522</v>
      </c>
    </row>
    <row r="27" spans="2:18">
      <c r="B27">
        <f t="shared" si="12"/>
        <v>24</v>
      </c>
      <c r="C27" s="4">
        <f t="shared" si="14"/>
        <v>4.4000000000000012</v>
      </c>
      <c r="E27" s="6">
        <f t="shared" si="2"/>
        <v>2.1073460979030165E-2</v>
      </c>
      <c r="F27" s="6">
        <f t="shared" si="3"/>
        <v>0.96406106942597747</v>
      </c>
      <c r="G27" s="6"/>
      <c r="H27" s="6">
        <f t="shared" si="4"/>
        <v>5.5401579181166914E-2</v>
      </c>
      <c r="I27" s="6">
        <f t="shared" si="5"/>
        <v>0.88919684163766621</v>
      </c>
      <c r="J27" s="6"/>
      <c r="K27" s="6">
        <f t="shared" si="6"/>
        <v>9.2723228307732802E-2</v>
      </c>
      <c r="L27" s="6">
        <f t="shared" si="7"/>
        <v>0.77861461281051203</v>
      </c>
      <c r="M27" s="6"/>
      <c r="N27" s="6">
        <f t="shared" si="8"/>
        <v>0.12188347419856725</v>
      </c>
      <c r="O27" s="6">
        <f t="shared" si="9"/>
        <v>0.64542989324053179</v>
      </c>
      <c r="P27" s="6"/>
      <c r="Q27" s="6">
        <f t="shared" si="10"/>
        <v>0.13599406818467477</v>
      </c>
      <c r="R27" s="6">
        <f t="shared" si="11"/>
        <v>0.50662647644116277</v>
      </c>
    </row>
    <row r="28" spans="2:18">
      <c r="B28">
        <f t="shared" si="12"/>
        <v>25</v>
      </c>
      <c r="C28" s="4">
        <f t="shared" si="14"/>
        <v>4.6000000000000014</v>
      </c>
      <c r="E28" s="6">
        <f t="shared" si="2"/>
        <v>1.8648926684969171E-2</v>
      </c>
      <c r="F28" s="6">
        <f t="shared" si="3"/>
        <v>0.9680280438223513</v>
      </c>
      <c r="G28" s="6"/>
      <c r="H28" s="6">
        <f t="shared" si="4"/>
        <v>5.0129421861401825E-2</v>
      </c>
      <c r="I28" s="6">
        <f t="shared" si="5"/>
        <v>0.89974115627719631</v>
      </c>
      <c r="J28" s="6"/>
      <c r="K28" s="6">
        <f t="shared" si="6"/>
        <v>8.5785062750858246E-2</v>
      </c>
      <c r="L28" s="6">
        <f t="shared" si="7"/>
        <v>0.79645791832063495</v>
      </c>
      <c r="M28" s="6"/>
      <c r="N28" s="6">
        <f t="shared" si="8"/>
        <v>0.11529767028122426</v>
      </c>
      <c r="O28" s="6">
        <f t="shared" si="9"/>
        <v>0.66914581571474785</v>
      </c>
      <c r="P28" s="6"/>
      <c r="Q28" s="6">
        <f t="shared" si="10"/>
        <v>0.13153709621798268</v>
      </c>
      <c r="R28" s="6">
        <f t="shared" si="11"/>
        <v>0.53338372588466965</v>
      </c>
    </row>
    <row r="29" spans="2:18">
      <c r="B29">
        <f t="shared" si="12"/>
        <v>26</v>
      </c>
      <c r="C29" s="4">
        <f t="shared" si="14"/>
        <v>4.8000000000000016</v>
      </c>
      <c r="E29" s="6">
        <f t="shared" si="2"/>
        <v>1.6518959582145512E-2</v>
      </c>
      <c r="F29" s="6">
        <f t="shared" si="3"/>
        <v>0.97154026308368946</v>
      </c>
      <c r="G29" s="6"/>
      <c r="H29" s="6">
        <f t="shared" si="4"/>
        <v>4.5358976644706214E-2</v>
      </c>
      <c r="I29" s="6">
        <f t="shared" si="5"/>
        <v>0.90928204671058754</v>
      </c>
      <c r="J29" s="6"/>
      <c r="K29" s="6">
        <f t="shared" si="6"/>
        <v>7.9291005994298516E-2</v>
      </c>
      <c r="L29" s="6">
        <f t="shared" si="7"/>
        <v>0.81295825109509245</v>
      </c>
      <c r="M29" s="6"/>
      <c r="N29" s="6">
        <f t="shared" si="8"/>
        <v>0.10886154394729497</v>
      </c>
      <c r="O29" s="6">
        <f t="shared" si="9"/>
        <v>0.6915589588159976</v>
      </c>
      <c r="P29" s="6"/>
      <c r="Q29" s="6">
        <f t="shared" si="10"/>
        <v>0.12686560959087764</v>
      </c>
      <c r="R29" s="6">
        <f t="shared" si="11"/>
        <v>0.55922703191333756</v>
      </c>
    </row>
    <row r="30" spans="2:18">
      <c r="B30" s="2">
        <f t="shared" ref="B30:B35" si="16">B29+1</f>
        <v>27</v>
      </c>
      <c r="C30" s="5">
        <f t="shared" si="14"/>
        <v>5.0000000000000018</v>
      </c>
      <c r="D30" s="2"/>
      <c r="E30" s="7">
        <f t="shared" si="2"/>
        <v>1.464498256192647E-2</v>
      </c>
      <c r="F30" s="7">
        <f t="shared" si="3"/>
        <v>0.9746526813225318</v>
      </c>
      <c r="G30" s="7"/>
      <c r="H30" s="7">
        <f t="shared" si="4"/>
        <v>4.1042499311949358E-2</v>
      </c>
      <c r="I30" s="7">
        <f t="shared" si="5"/>
        <v>0.91791500137610127</v>
      </c>
      <c r="J30" s="7"/>
      <c r="K30" s="7">
        <f t="shared" si="6"/>
        <v>7.322491280963242E-2</v>
      </c>
      <c r="L30" s="7">
        <f t="shared" si="7"/>
        <v>0.82820285570326702</v>
      </c>
      <c r="M30" s="7"/>
      <c r="N30" s="7">
        <f t="shared" si="8"/>
        <v>0.10260624827987344</v>
      </c>
      <c r="O30" s="7">
        <f t="shared" si="9"/>
        <v>0.71270250481635444</v>
      </c>
      <c r="P30" s="7"/>
      <c r="Q30" s="7">
        <f t="shared" si="10"/>
        <v>0.12204152134938738</v>
      </c>
      <c r="R30" s="7">
        <f t="shared" si="11"/>
        <v>0.58411981300449223</v>
      </c>
    </row>
    <row r="31" spans="2:18">
      <c r="B31">
        <f t="shared" si="16"/>
        <v>28</v>
      </c>
      <c r="C31" s="4">
        <f t="shared" si="14"/>
        <v>5.200000000000002</v>
      </c>
      <c r="E31" s="6">
        <f t="shared" si="2"/>
        <v>1.2993996368507984E-2</v>
      </c>
      <c r="F31" s="6">
        <f t="shared" si="3"/>
        <v>0.97741311183582036</v>
      </c>
      <c r="G31" s="6"/>
      <c r="H31" s="6">
        <f t="shared" si="4"/>
        <v>3.7136789107166897E-2</v>
      </c>
      <c r="I31" s="6">
        <f t="shared" si="5"/>
        <v>0.92572642178566622</v>
      </c>
      <c r="J31" s="6"/>
      <c r="K31" s="6">
        <f t="shared" si="6"/>
        <v>6.756878111624158E-2</v>
      </c>
      <c r="L31" s="6">
        <f t="shared" si="7"/>
        <v>0.84227554960333728</v>
      </c>
      <c r="M31" s="6"/>
      <c r="N31" s="6">
        <f t="shared" si="8"/>
        <v>9.6555651678634002E-2</v>
      </c>
      <c r="O31" s="6">
        <f t="shared" si="9"/>
        <v>0.73261511842839822</v>
      </c>
      <c r="P31" s="6"/>
      <c r="Q31" s="6">
        <f t="shared" si="10"/>
        <v>0.11711922060148544</v>
      </c>
      <c r="R31" s="6">
        <f t="shared" si="11"/>
        <v>0.60803710840036651</v>
      </c>
    </row>
    <row r="32" spans="2:18">
      <c r="B32">
        <f t="shared" si="16"/>
        <v>29</v>
      </c>
      <c r="C32" s="4">
        <f t="shared" si="14"/>
        <v>5.4000000000000021</v>
      </c>
      <c r="E32" s="6">
        <f t="shared" si="2"/>
        <v>1.1537669246713825E-2</v>
      </c>
      <c r="F32" s="6">
        <f t="shared" si="3"/>
        <v>0.97986324844965367</v>
      </c>
      <c r="G32" s="6"/>
      <c r="H32" s="6">
        <f t="shared" si="4"/>
        <v>3.3602756369874844E-2</v>
      </c>
      <c r="I32" s="6">
        <f t="shared" si="5"/>
        <v>0.93279448726025027</v>
      </c>
      <c r="J32" s="6"/>
      <c r="K32" s="6">
        <f t="shared" si="6"/>
        <v>6.2303413932254706E-2</v>
      </c>
      <c r="L32" s="6">
        <f t="shared" si="7"/>
        <v>0.85525642058514428</v>
      </c>
      <c r="M32" s="6"/>
      <c r="N32" s="6">
        <f t="shared" si="8"/>
        <v>9.0727442198662148E-2</v>
      </c>
      <c r="O32" s="6">
        <f t="shared" si="9"/>
        <v>0.75133960286292611</v>
      </c>
      <c r="P32" s="6"/>
      <c r="Q32" s="6">
        <f t="shared" si="10"/>
        <v>0.11214614507805851</v>
      </c>
      <c r="R32" s="6">
        <f t="shared" si="11"/>
        <v>0.63096413042902744</v>
      </c>
    </row>
    <row r="33" spans="2:18">
      <c r="B33">
        <f t="shared" si="16"/>
        <v>30</v>
      </c>
      <c r="C33" s="4">
        <f t="shared" si="14"/>
        <v>5.6000000000000023</v>
      </c>
      <c r="E33" s="6">
        <f t="shared" si="2"/>
        <v>1.0251596472870732E-2</v>
      </c>
      <c r="F33" s="6">
        <f t="shared" si="3"/>
        <v>0.98203952247392123</v>
      </c>
      <c r="G33" s="6"/>
      <c r="H33" s="6">
        <f t="shared" si="4"/>
        <v>3.0405031312608945E-2</v>
      </c>
      <c r="I33" s="6">
        <f t="shared" si="5"/>
        <v>0.93918993737478207</v>
      </c>
      <c r="J33" s="6"/>
      <c r="K33" s="6">
        <f t="shared" si="6"/>
        <v>5.7408940248076169E-2</v>
      </c>
      <c r="L33" s="6">
        <f t="shared" si="7"/>
        <v>0.86722164197776896</v>
      </c>
      <c r="M33" s="6"/>
      <c r="N33" s="6">
        <f t="shared" si="8"/>
        <v>8.5134087675305101E-2</v>
      </c>
      <c r="O33" s="6">
        <f t="shared" si="9"/>
        <v>0.76892176202417195</v>
      </c>
      <c r="P33" s="6"/>
      <c r="Q33" s="6">
        <f t="shared" si="10"/>
        <v>0.10716335512974219</v>
      </c>
      <c r="R33" s="6">
        <f t="shared" si="11"/>
        <v>0.65289493171828461</v>
      </c>
    </row>
    <row r="34" spans="2:18">
      <c r="B34">
        <f t="shared" si="16"/>
        <v>31</v>
      </c>
      <c r="C34" s="4">
        <f t="shared" si="14"/>
        <v>5.8000000000000025</v>
      </c>
      <c r="E34" s="6">
        <f t="shared" si="2"/>
        <v>9.1146935485576213E-3</v>
      </c>
      <c r="F34" s="6">
        <f t="shared" si="3"/>
        <v>0.98397382545201495</v>
      </c>
      <c r="G34" s="6"/>
      <c r="H34" s="6">
        <f t="shared" si="4"/>
        <v>2.7511610028203577E-2</v>
      </c>
      <c r="I34" s="6">
        <f t="shared" si="5"/>
        <v>0.94497677994359286</v>
      </c>
      <c r="J34" s="6"/>
      <c r="K34" s="6">
        <f t="shared" si="6"/>
        <v>5.2865222581634251E-2</v>
      </c>
      <c r="L34" s="6">
        <f t="shared" si="7"/>
        <v>0.87824338028874649</v>
      </c>
      <c r="M34" s="6"/>
      <c r="N34" s="6">
        <f t="shared" si="8"/>
        <v>7.9783669081790437E-2</v>
      </c>
      <c r="O34" s="6">
        <f t="shared" si="9"/>
        <v>0.78540944178001204</v>
      </c>
      <c r="P34" s="6"/>
      <c r="Q34" s="6">
        <f t="shared" si="10"/>
        <v>0.10220609699115958</v>
      </c>
      <c r="R34" s="6">
        <f t="shared" si="11"/>
        <v>0.67383118630642735</v>
      </c>
    </row>
    <row r="35" spans="2:18">
      <c r="B35" s="2">
        <f t="shared" si="16"/>
        <v>32</v>
      </c>
      <c r="C35" s="5">
        <f t="shared" si="14"/>
        <v>6.0000000000000027</v>
      </c>
      <c r="D35" s="2"/>
      <c r="E35" s="7">
        <f t="shared" si="2"/>
        <v>8.10869555494023E-3</v>
      </c>
      <c r="F35" s="7">
        <f t="shared" si="3"/>
        <v>0.98569412156457037</v>
      </c>
      <c r="G35" s="7"/>
      <c r="H35" s="7">
        <f t="shared" si="4"/>
        <v>2.4893534183931944E-2</v>
      </c>
      <c r="I35" s="7">
        <f t="shared" si="5"/>
        <v>0.95021293163213616</v>
      </c>
      <c r="J35" s="7"/>
      <c r="K35" s="7">
        <f t="shared" si="6"/>
        <v>4.8652173329641418E-2</v>
      </c>
      <c r="L35" s="7">
        <f t="shared" si="7"/>
        <v>0.88838977490528759</v>
      </c>
      <c r="M35" s="7"/>
      <c r="N35" s="7">
        <f t="shared" si="8"/>
        <v>7.4680602551795858E-2</v>
      </c>
      <c r="O35" s="7">
        <f t="shared" si="9"/>
        <v>0.80085172652854442</v>
      </c>
      <c r="P35" s="7"/>
      <c r="Q35" s="7">
        <f t="shared" si="10"/>
        <v>9.7304346659282892E-2</v>
      </c>
      <c r="R35" s="7">
        <f t="shared" si="11"/>
        <v>0.6937810815867218</v>
      </c>
    </row>
    <row r="36" spans="2:18">
      <c r="B36">
        <f t="shared" si="12"/>
        <v>33</v>
      </c>
      <c r="C36" s="4">
        <f t="shared" si="14"/>
        <v>6.2000000000000028</v>
      </c>
      <c r="E36" s="6">
        <f t="shared" si="2"/>
        <v>7.2177415535362869E-3</v>
      </c>
      <c r="F36" s="6">
        <f t="shared" si="3"/>
        <v>0.98722496871691268</v>
      </c>
      <c r="G36" s="6"/>
      <c r="H36" s="6">
        <f t="shared" si="4"/>
        <v>2.2524601196778869E-2</v>
      </c>
      <c r="I36" s="6">
        <f t="shared" si="5"/>
        <v>0.9549507976064423</v>
      </c>
      <c r="J36" s="6"/>
      <c r="K36" s="6">
        <f t="shared" si="6"/>
        <v>4.4749997631925026E-2</v>
      </c>
      <c r="L36" s="6">
        <f t="shared" si="7"/>
        <v>0.89772497345306257</v>
      </c>
      <c r="M36" s="6"/>
      <c r="N36" s="6">
        <f t="shared" si="8"/>
        <v>6.9826263710014547E-2</v>
      </c>
      <c r="O36" s="6">
        <f t="shared" si="9"/>
        <v>0.81529827018641321</v>
      </c>
      <c r="P36" s="6"/>
      <c r="Q36" s="6">
        <f t="shared" si="10"/>
        <v>9.2483328439311757E-2</v>
      </c>
      <c r="R36" s="6">
        <f t="shared" si="11"/>
        <v>0.71275831657443922</v>
      </c>
    </row>
    <row r="37" spans="2:18">
      <c r="B37">
        <f t="shared" si="12"/>
        <v>34</v>
      </c>
      <c r="C37" s="4">
        <f t="shared" si="14"/>
        <v>6.400000000000003</v>
      </c>
      <c r="E37" s="6">
        <f t="shared" si="2"/>
        <v>6.4280276579396969E-3</v>
      </c>
      <c r="F37" s="6">
        <f t="shared" si="3"/>
        <v>0.98858796361399837</v>
      </c>
      <c r="G37" s="6"/>
      <c r="H37" s="6">
        <f t="shared" si="4"/>
        <v>2.0381101989183074E-2</v>
      </c>
      <c r="I37" s="6">
        <f t="shared" si="5"/>
        <v>0.95923779602163384</v>
      </c>
      <c r="J37" s="6"/>
      <c r="K37" s="6">
        <f t="shared" si="6"/>
        <v>4.1139377010814104E-2</v>
      </c>
      <c r="L37" s="6">
        <f t="shared" si="7"/>
        <v>0.90630920959237016</v>
      </c>
      <c r="M37" s="6"/>
      <c r="N37" s="6">
        <f t="shared" si="8"/>
        <v>6.5219526365385888E-2</v>
      </c>
      <c r="O37" s="6">
        <f t="shared" si="9"/>
        <v>0.82879874329086212</v>
      </c>
      <c r="P37" s="6"/>
      <c r="Q37" s="6">
        <f t="shared" si="10"/>
        <v>8.7764004289736783E-2</v>
      </c>
      <c r="R37" s="6">
        <f t="shared" si="11"/>
        <v>0.73078120101289668</v>
      </c>
    </row>
    <row r="38" spans="2:18">
      <c r="B38">
        <f t="shared" si="12"/>
        <v>35</v>
      </c>
      <c r="C38" s="4">
        <f t="shared" si="14"/>
        <v>6.6000000000000032</v>
      </c>
      <c r="E38" s="6">
        <f t="shared" si="2"/>
        <v>5.7275159563547357E-3</v>
      </c>
      <c r="F38" s="6">
        <f t="shared" si="3"/>
        <v>0.98980212322375982</v>
      </c>
      <c r="G38" s="6"/>
      <c r="H38" s="6">
        <f t="shared" si="4"/>
        <v>1.8441583700619973E-2</v>
      </c>
      <c r="I38" s="6">
        <f t="shared" si="5"/>
        <v>0.96311683259876002</v>
      </c>
      <c r="J38" s="6"/>
      <c r="K38" s="6">
        <f t="shared" si="6"/>
        <v>3.7801605311941294E-2</v>
      </c>
      <c r="L38" s="6">
        <f t="shared" si="7"/>
        <v>0.91419891259987718</v>
      </c>
      <c r="M38" s="6"/>
      <c r="N38" s="6">
        <f t="shared" si="8"/>
        <v>6.0857226212045958E-2</v>
      </c>
      <c r="O38" s="6">
        <f t="shared" si="9"/>
        <v>0.84140238017466817</v>
      </c>
      <c r="P38" s="6"/>
      <c r="Q38" s="6">
        <f t="shared" si="10"/>
        <v>8.3163531686270886E-2</v>
      </c>
      <c r="R38" s="6">
        <f t="shared" si="11"/>
        <v>0.74787184922733552</v>
      </c>
    </row>
    <row r="39" spans="2:18">
      <c r="B39">
        <f t="shared" si="12"/>
        <v>36</v>
      </c>
      <c r="C39" s="4">
        <f t="shared" si="14"/>
        <v>6.8000000000000034</v>
      </c>
      <c r="E39" s="6">
        <f t="shared" si="2"/>
        <v>5.1056891606095275E-3</v>
      </c>
      <c r="F39" s="6">
        <f t="shared" si="3"/>
        <v>0.99088421274749172</v>
      </c>
      <c r="G39" s="6"/>
      <c r="H39" s="6">
        <f t="shared" si="4"/>
        <v>1.6686634980163009E-2</v>
      </c>
      <c r="I39" s="6">
        <f t="shared" si="5"/>
        <v>0.96662673003967403</v>
      </c>
      <c r="J39" s="6"/>
      <c r="K39" s="6">
        <f t="shared" si="6"/>
        <v>3.4718686292144814E-2</v>
      </c>
      <c r="L39" s="6">
        <f t="shared" si="7"/>
        <v>0.92144684016320211</v>
      </c>
      <c r="M39" s="6"/>
      <c r="N39" s="6">
        <f t="shared" si="8"/>
        <v>5.6734558932554288E-2</v>
      </c>
      <c r="O39" s="6">
        <f t="shared" si="9"/>
        <v>0.85315761217456543</v>
      </c>
      <c r="P39" s="6"/>
      <c r="Q39" s="6">
        <f t="shared" si="10"/>
        <v>7.8695688928861612E-2</v>
      </c>
      <c r="R39" s="6">
        <f t="shared" si="11"/>
        <v>0.76405546230547894</v>
      </c>
    </row>
    <row r="40" spans="2:18">
      <c r="B40" s="2">
        <f t="shared" ref="B40:B45" si="17">B39+1</f>
        <v>37</v>
      </c>
      <c r="C40" s="5">
        <f t="shared" si="14"/>
        <v>7.0000000000000036</v>
      </c>
      <c r="D40" s="2"/>
      <c r="E40" s="7">
        <f t="shared" si="2"/>
        <v>4.5533429216401636E-3</v>
      </c>
      <c r="F40" s="7">
        <f t="shared" si="3"/>
        <v>0.99184902840649736</v>
      </c>
      <c r="G40" s="7"/>
      <c r="H40" s="7">
        <f t="shared" si="4"/>
        <v>1.5098691711159226E-2</v>
      </c>
      <c r="I40" s="7">
        <f t="shared" si="5"/>
        <v>0.96980261657768152</v>
      </c>
      <c r="J40" s="7"/>
      <c r="K40" s="7">
        <f t="shared" si="6"/>
        <v>3.1873400451481175E-2</v>
      </c>
      <c r="L40" s="7">
        <f t="shared" si="7"/>
        <v>0.92810222750353499</v>
      </c>
      <c r="M40" s="7"/>
      <c r="N40" s="7">
        <f t="shared" si="8"/>
        <v>5.2845420989057312E-2</v>
      </c>
      <c r="O40" s="7">
        <f t="shared" si="9"/>
        <v>0.8641117745995669</v>
      </c>
      <c r="P40" s="7"/>
      <c r="Q40" s="7">
        <f t="shared" si="10"/>
        <v>7.4371267720122772E-2</v>
      </c>
      <c r="R40" s="7">
        <f t="shared" si="11"/>
        <v>0.77935969206328948</v>
      </c>
    </row>
    <row r="41" spans="2:18">
      <c r="B41">
        <f t="shared" si="17"/>
        <v>38</v>
      </c>
      <c r="C41" s="4">
        <f t="shared" si="14"/>
        <v>7.2000000000000037</v>
      </c>
      <c r="E41" s="6">
        <f t="shared" si="2"/>
        <v>4.0624093467732806E-3</v>
      </c>
      <c r="F41" s="6">
        <f t="shared" si="3"/>
        <v>0.99270964190846434</v>
      </c>
      <c r="G41" s="6"/>
      <c r="H41" s="6">
        <f t="shared" si="4"/>
        <v>1.3661861223646255E-2</v>
      </c>
      <c r="I41" s="6">
        <f t="shared" si="5"/>
        <v>0.97267627755270747</v>
      </c>
      <c r="J41" s="6"/>
      <c r="K41" s="6">
        <f t="shared" si="6"/>
        <v>2.9249347296767651E-2</v>
      </c>
      <c r="L41" s="6">
        <f t="shared" si="7"/>
        <v>0.93421094731492915</v>
      </c>
      <c r="M41" s="6"/>
      <c r="N41" s="6">
        <f t="shared" si="8"/>
        <v>4.918270040512656E-2</v>
      </c>
      <c r="O41" s="6">
        <f t="shared" si="9"/>
        <v>0.87431087674245445</v>
      </c>
      <c r="P41" s="6"/>
      <c r="Q41" s="6">
        <f t="shared" si="10"/>
        <v>7.0198433512242392E-2</v>
      </c>
      <c r="R41" s="6">
        <f t="shared" si="11"/>
        <v>0.79381408029044431</v>
      </c>
    </row>
    <row r="42" spans="2:18">
      <c r="B42">
        <f t="shared" si="17"/>
        <v>39</v>
      </c>
      <c r="C42" s="4">
        <f t="shared" si="14"/>
        <v>7.4000000000000039</v>
      </c>
      <c r="E42" s="6">
        <f t="shared" si="2"/>
        <v>3.6258064976532329E-3</v>
      </c>
      <c r="F42" s="6">
        <f t="shared" si="3"/>
        <v>0.99347761229353315</v>
      </c>
      <c r="G42" s="6"/>
      <c r="H42" s="6">
        <f t="shared" si="4"/>
        <v>1.2361763235169672E-2</v>
      </c>
      <c r="I42" s="6">
        <f t="shared" si="5"/>
        <v>0.97527647352966063</v>
      </c>
      <c r="J42" s="6"/>
      <c r="K42" s="6">
        <f t="shared" si="6"/>
        <v>2.6830968082633948E-2</v>
      </c>
      <c r="L42" s="6">
        <f t="shared" si="7"/>
        <v>0.93981567612826533</v>
      </c>
      <c r="M42" s="6"/>
      <c r="N42" s="6">
        <f t="shared" si="8"/>
        <v>4.5738523970127822E-2</v>
      </c>
      <c r="O42" s="6">
        <f t="shared" si="9"/>
        <v>0.88379942558940505</v>
      </c>
      <c r="P42" s="6"/>
      <c r="Q42" s="6">
        <f t="shared" si="10"/>
        <v>6.6183054603830435E-2</v>
      </c>
      <c r="R42" s="6">
        <f t="shared" si="11"/>
        <v>0.80744956692060454</v>
      </c>
    </row>
    <row r="43" spans="2:18">
      <c r="B43">
        <f t="shared" si="17"/>
        <v>40</v>
      </c>
      <c r="C43" s="4">
        <f t="shared" si="14"/>
        <v>7.6000000000000041</v>
      </c>
      <c r="E43" s="6">
        <f t="shared" si="2"/>
        <v>3.2373096247521375E-3</v>
      </c>
      <c r="F43" s="6">
        <f t="shared" si="3"/>
        <v>0.99416316991735454</v>
      </c>
      <c r="G43" s="6"/>
      <c r="H43" s="6">
        <f t="shared" si="4"/>
        <v>1.1185385928082776E-2</v>
      </c>
      <c r="I43" s="6">
        <f t="shared" si="5"/>
        <v>0.97762922814383446</v>
      </c>
      <c r="J43" s="6"/>
      <c r="K43" s="6">
        <f t="shared" si="6"/>
        <v>2.4603553148116273E-2</v>
      </c>
      <c r="L43" s="6">
        <f t="shared" si="7"/>
        <v>0.94495606362112206</v>
      </c>
      <c r="M43" s="6"/>
      <c r="N43" s="6">
        <f t="shared" si="8"/>
        <v>4.2504466526714572E-2</v>
      </c>
      <c r="O43" s="6">
        <f t="shared" si="9"/>
        <v>0.8926202950904053</v>
      </c>
      <c r="P43" s="6"/>
      <c r="Q43" s="6">
        <f t="shared" si="10"/>
        <v>6.2329001308561248E-2</v>
      </c>
      <c r="R43" s="6">
        <f t="shared" si="11"/>
        <v>0.8202980610039996</v>
      </c>
    </row>
    <row r="44" spans="2:18">
      <c r="B44">
        <f t="shared" si="17"/>
        <v>41</v>
      </c>
      <c r="C44" s="4">
        <f t="shared" si="14"/>
        <v>7.8000000000000043</v>
      </c>
      <c r="E44" s="6">
        <f t="shared" si="2"/>
        <v>2.8914406679353783E-3</v>
      </c>
      <c r="F44" s="6">
        <f t="shared" si="3"/>
        <v>0.99477537655993864</v>
      </c>
      <c r="G44" s="6"/>
      <c r="H44" s="6">
        <f t="shared" si="4"/>
        <v>1.0120955722902173E-2</v>
      </c>
      <c r="I44" s="6">
        <f t="shared" si="5"/>
        <v>0.97975808855419566</v>
      </c>
      <c r="J44" s="6"/>
      <c r="K44" s="6">
        <f t="shared" si="6"/>
        <v>2.2553237209895972E-2</v>
      </c>
      <c r="L44" s="6">
        <f t="shared" si="7"/>
        <v>0.94966890214014676</v>
      </c>
      <c r="M44" s="6"/>
      <c r="N44" s="6">
        <f t="shared" si="8"/>
        <v>3.94717273193185E-2</v>
      </c>
      <c r="O44" s="6">
        <f t="shared" si="9"/>
        <v>0.90081463391555872</v>
      </c>
      <c r="P44" s="6"/>
      <c r="Q44" s="6">
        <f t="shared" si="10"/>
        <v>5.8638416745729553E-2</v>
      </c>
      <c r="R44" s="6">
        <f t="shared" si="11"/>
        <v>0.83239206864868764</v>
      </c>
    </row>
    <row r="45" spans="2:18">
      <c r="B45" s="2">
        <f t="shared" si="17"/>
        <v>42</v>
      </c>
      <c r="C45" s="5">
        <f t="shared" si="14"/>
        <v>8.0000000000000036</v>
      </c>
      <c r="D45" s="2"/>
      <c r="E45" s="7">
        <f t="shared" si="2"/>
        <v>2.583373169261501E-3</v>
      </c>
      <c r="F45" s="7">
        <f t="shared" si="3"/>
        <v>0.99532226501895271</v>
      </c>
      <c r="G45" s="7"/>
      <c r="H45" s="7">
        <f t="shared" si="4"/>
        <v>9.1578194443670737E-3</v>
      </c>
      <c r="I45" s="7">
        <f t="shared" si="5"/>
        <v>0.98168436111126589</v>
      </c>
      <c r="J45" s="7"/>
      <c r="K45" s="7">
        <f t="shared" si="6"/>
        <v>2.0666985354092029E-2</v>
      </c>
      <c r="L45" s="7">
        <f t="shared" si="7"/>
        <v>0.9539882943107687</v>
      </c>
      <c r="M45" s="7"/>
      <c r="N45" s="7">
        <f t="shared" si="8"/>
        <v>3.6631277777468323E-2</v>
      </c>
      <c r="O45" s="7">
        <f t="shared" si="9"/>
        <v>0.90842180555632923</v>
      </c>
      <c r="P45" s="7"/>
      <c r="Q45" s="7">
        <f t="shared" si="10"/>
        <v>5.5111960944245413E-2</v>
      </c>
      <c r="R45" s="7">
        <f t="shared" si="11"/>
        <v>0.84376437242227786</v>
      </c>
    </row>
    <row r="46" spans="2:18">
      <c r="B46">
        <f t="shared" si="12"/>
        <v>43</v>
      </c>
      <c r="C46" s="4">
        <f t="shared" si="14"/>
        <v>8.2000000000000028</v>
      </c>
      <c r="E46" s="6">
        <f t="shared" si="2"/>
        <v>2.3088502391223589E-3</v>
      </c>
      <c r="F46" s="6">
        <f t="shared" si="3"/>
        <v>0.99581096102664057</v>
      </c>
      <c r="G46" s="6"/>
      <c r="H46" s="6">
        <f t="shared" si="4"/>
        <v>8.2863377008806118E-3</v>
      </c>
      <c r="I46" s="6">
        <f t="shared" si="5"/>
        <v>0.98342732459823878</v>
      </c>
      <c r="J46" s="6"/>
      <c r="K46" s="6">
        <f t="shared" si="6"/>
        <v>1.8932571960803356E-2</v>
      </c>
      <c r="L46" s="6">
        <f t="shared" si="7"/>
        <v>0.9579458171050339</v>
      </c>
      <c r="M46" s="6"/>
      <c r="N46" s="6">
        <f t="shared" si="8"/>
        <v>3.3973984573610526E-2</v>
      </c>
      <c r="O46" s="6">
        <f t="shared" si="9"/>
        <v>0.91547935545101766</v>
      </c>
      <c r="P46" s="6"/>
      <c r="Q46" s="6">
        <f t="shared" si="10"/>
        <v>5.1749030026195866E-2</v>
      </c>
      <c r="R46" s="6">
        <f t="shared" si="11"/>
        <v>0.8544477570526422</v>
      </c>
    </row>
    <row r="47" spans="2:18">
      <c r="B47">
        <f t="shared" si="12"/>
        <v>44</v>
      </c>
      <c r="C47" s="4">
        <f t="shared" si="14"/>
        <v>8.4000000000000021</v>
      </c>
      <c r="E47" s="6">
        <f t="shared" si="2"/>
        <v>2.0641136164889651E-3</v>
      </c>
      <c r="F47" s="6">
        <f t="shared" si="3"/>
        <v>0.99624778989912621</v>
      </c>
      <c r="G47" s="6"/>
      <c r="H47" s="6">
        <f t="shared" si="4"/>
        <v>7.4977884102388447E-3</v>
      </c>
      <c r="I47" s="6">
        <f t="shared" si="5"/>
        <v>0.9850044231795223</v>
      </c>
      <c r="J47" s="6"/>
      <c r="K47" s="6">
        <f t="shared" si="6"/>
        <v>1.7338554378507322E-2</v>
      </c>
      <c r="L47" s="6">
        <f t="shared" si="7"/>
        <v>0.96157068114211153</v>
      </c>
      <c r="M47" s="6"/>
      <c r="N47" s="6">
        <f t="shared" si="8"/>
        <v>3.1490711323003157E-2</v>
      </c>
      <c r="O47" s="6">
        <f t="shared" si="9"/>
        <v>0.92202300053351594</v>
      </c>
      <c r="P47" s="6"/>
      <c r="Q47" s="6">
        <f t="shared" si="10"/>
        <v>4.854795225982049E-2</v>
      </c>
      <c r="R47" s="6">
        <f t="shared" si="11"/>
        <v>0.86447477662247063</v>
      </c>
    </row>
    <row r="48" spans="2:18">
      <c r="B48">
        <f t="shared" si="12"/>
        <v>45</v>
      </c>
      <c r="C48" s="4">
        <f t="shared" si="14"/>
        <v>8.6000000000000014</v>
      </c>
      <c r="E48" s="6">
        <f t="shared" si="2"/>
        <v>1.8458421886377102E-3</v>
      </c>
      <c r="F48" s="6">
        <f t="shared" si="3"/>
        <v>0.99663836996858768</v>
      </c>
      <c r="G48" s="6"/>
      <c r="H48" s="6">
        <f t="shared" si="4"/>
        <v>6.7842795061004608E-3</v>
      </c>
      <c r="I48" s="6">
        <f t="shared" si="5"/>
        <v>0.98643144098779911</v>
      </c>
      <c r="J48" s="6"/>
      <c r="K48" s="6">
        <f t="shared" si="6"/>
        <v>1.5874242822284321E-2</v>
      </c>
      <c r="L48" s="6">
        <f t="shared" si="7"/>
        <v>0.96488988432401901</v>
      </c>
      <c r="M48" s="6"/>
      <c r="N48" s="6">
        <f t="shared" si="8"/>
        <v>2.9172401876231987E-2</v>
      </c>
      <c r="O48" s="6">
        <f t="shared" si="9"/>
        <v>0.92808663723533513</v>
      </c>
      <c r="P48" s="6"/>
      <c r="Q48" s="6">
        <f t="shared" si="10"/>
        <v>4.5506162757215043E-2</v>
      </c>
      <c r="R48" s="6">
        <f t="shared" si="11"/>
        <v>0.87387755880958895</v>
      </c>
    </row>
    <row r="49" spans="2:18">
      <c r="B49">
        <f t="shared" si="12"/>
        <v>46</v>
      </c>
      <c r="C49" s="4">
        <f t="shared" si="14"/>
        <v>8.8000000000000007</v>
      </c>
      <c r="E49" s="6">
        <f t="shared" si="2"/>
        <v>1.6510986008249913E-3</v>
      </c>
      <c r="F49" s="6">
        <f t="shared" si="3"/>
        <v>0.99698769454925451</v>
      </c>
      <c r="G49" s="6"/>
      <c r="H49" s="6">
        <f t="shared" si="4"/>
        <v>6.1386699515342188E-3</v>
      </c>
      <c r="I49" s="6">
        <f t="shared" si="5"/>
        <v>0.98772266009693155</v>
      </c>
      <c r="J49" s="6"/>
      <c r="K49" s="6">
        <f t="shared" si="6"/>
        <v>1.4529667687259931E-2</v>
      </c>
      <c r="L49" s="6">
        <f t="shared" si="7"/>
        <v>0.96792835917473474</v>
      </c>
      <c r="M49" s="6"/>
      <c r="N49" s="6">
        <f t="shared" si="8"/>
        <v>2.7010147786750562E-2</v>
      </c>
      <c r="O49" s="6">
        <f t="shared" si="9"/>
        <v>0.93370236452343047</v>
      </c>
      <c r="P49" s="6"/>
      <c r="Q49" s="6">
        <f t="shared" si="10"/>
        <v>4.2620358549295793E-2</v>
      </c>
      <c r="R49" s="6">
        <f t="shared" si="11"/>
        <v>0.88268764207614314</v>
      </c>
    </row>
    <row r="50" spans="2:18">
      <c r="B50">
        <f t="shared" si="12"/>
        <v>47</v>
      </c>
      <c r="C50" s="4">
        <f t="shared" si="14"/>
        <v>9</v>
      </c>
      <c r="E50" s="6">
        <f t="shared" si="2"/>
        <v>1.4772828039793357E-3</v>
      </c>
      <c r="F50" s="6">
        <f t="shared" si="3"/>
        <v>0.99730020393673979</v>
      </c>
      <c r="G50" s="6"/>
      <c r="H50" s="6">
        <f t="shared" si="4"/>
        <v>5.5544982691211539E-3</v>
      </c>
      <c r="I50" s="6">
        <f t="shared" si="5"/>
        <v>0.98889100346175773</v>
      </c>
      <c r="J50" s="6"/>
      <c r="K50" s="6">
        <f t="shared" si="6"/>
        <v>1.3295545235814027E-2</v>
      </c>
      <c r="L50" s="6">
        <f t="shared" si="7"/>
        <v>0.97070911346511179</v>
      </c>
      <c r="M50" s="6"/>
      <c r="N50" s="6">
        <f t="shared" si="8"/>
        <v>2.4995242211045189E-2</v>
      </c>
      <c r="O50" s="6">
        <f t="shared" si="9"/>
        <v>0.93890051903966731</v>
      </c>
      <c r="P50" s="6"/>
      <c r="Q50" s="6">
        <f t="shared" si="10"/>
        <v>3.9886635707442081E-2</v>
      </c>
      <c r="R50" s="6">
        <f t="shared" si="11"/>
        <v>0.89093584205022769</v>
      </c>
    </row>
    <row r="51" spans="2:18">
      <c r="B51">
        <f t="shared" ref="B51:B53" si="18">B50+1</f>
        <v>48</v>
      </c>
      <c r="C51" s="4">
        <f t="shared" ref="C51:C53" si="19">C50+0.2</f>
        <v>9.1999999999999993</v>
      </c>
      <c r="E51" s="6">
        <f t="shared" si="2"/>
        <v>1.3220915679587331E-3</v>
      </c>
      <c r="F51" s="6">
        <f t="shared" si="3"/>
        <v>0.99757984872835215</v>
      </c>
      <c r="G51" s="6"/>
      <c r="H51" s="6">
        <f t="shared" si="4"/>
        <v>5.025917872316793E-3</v>
      </c>
      <c r="I51" s="6">
        <f t="shared" si="5"/>
        <v>0.98994816425536647</v>
      </c>
      <c r="J51" s="6"/>
      <c r="K51" s="6">
        <f t="shared" si="6"/>
        <v>1.2163242425220351E-2</v>
      </c>
      <c r="L51" s="6">
        <f t="shared" si="7"/>
        <v>0.9732533638779115</v>
      </c>
      <c r="M51" s="6"/>
      <c r="N51" s="6">
        <f t="shared" si="8"/>
        <v>2.3119222212657248E-2</v>
      </c>
      <c r="O51" s="6">
        <f t="shared" si="9"/>
        <v>0.94370971983005192</v>
      </c>
      <c r="P51" s="6"/>
      <c r="Q51" s="6">
        <f t="shared" si="10"/>
        <v>3.7300610104009056E-2</v>
      </c>
      <c r="R51" s="6">
        <f t="shared" si="11"/>
        <v>0.89865214366989332</v>
      </c>
    </row>
    <row r="52" spans="2:18">
      <c r="B52">
        <f t="shared" si="18"/>
        <v>49</v>
      </c>
      <c r="C52" s="4">
        <f t="shared" si="19"/>
        <v>9.3999999999999986</v>
      </c>
      <c r="E52" s="6">
        <f t="shared" si="2"/>
        <v>1.1834831366269781E-3</v>
      </c>
      <c r="F52" s="6">
        <f t="shared" si="3"/>
        <v>0.99783014557286986</v>
      </c>
      <c r="G52" s="6"/>
      <c r="H52" s="6">
        <f t="shared" si="4"/>
        <v>4.5476385508479121E-3</v>
      </c>
      <c r="I52" s="6">
        <f t="shared" si="5"/>
        <v>0.99090472289830422</v>
      </c>
      <c r="J52" s="6"/>
      <c r="K52" s="6">
        <f t="shared" si="6"/>
        <v>1.1124741484293599E-2</v>
      </c>
      <c r="L52" s="6">
        <f t="shared" si="7"/>
        <v>0.97558066260428267</v>
      </c>
      <c r="M52" s="6"/>
      <c r="N52" s="6">
        <f t="shared" si="8"/>
        <v>2.1373901188985186E-2</v>
      </c>
      <c r="O52" s="6">
        <f t="shared" si="9"/>
        <v>0.94815692052033373</v>
      </c>
      <c r="P52" s="6"/>
      <c r="Q52" s="6">
        <f t="shared" si="10"/>
        <v>3.4857523317453253E-2</v>
      </c>
      <c r="R52" s="6">
        <f t="shared" si="11"/>
        <v>0.9058656159693762</v>
      </c>
    </row>
    <row r="53" spans="2:18">
      <c r="B53">
        <f t="shared" si="18"/>
        <v>50</v>
      </c>
      <c r="C53" s="4">
        <f t="shared" si="19"/>
        <v>9.5999999999999979</v>
      </c>
      <c r="E53" s="6">
        <f t="shared" si="2"/>
        <v>1.0596463247376381E-3</v>
      </c>
      <c r="F53" s="6">
        <f t="shared" si="3"/>
        <v>0.99805422630626084</v>
      </c>
      <c r="G53" s="6"/>
      <c r="H53" s="6">
        <f t="shared" si="4"/>
        <v>4.1148735245100185E-3</v>
      </c>
      <c r="I53" s="6">
        <f t="shared" si="5"/>
        <v>0.99177025295097998</v>
      </c>
      <c r="J53" s="6"/>
      <c r="K53" s="6">
        <f t="shared" si="6"/>
        <v>1.0172604717481328E-2</v>
      </c>
      <c r="L53" s="6">
        <f t="shared" si="7"/>
        <v>0.97770901687129819</v>
      </c>
      <c r="M53" s="6"/>
      <c r="N53" s="6">
        <f t="shared" si="8"/>
        <v>1.9751392917648089E-2</v>
      </c>
      <c r="O53" s="6">
        <f t="shared" si="9"/>
        <v>0.95226746711568377</v>
      </c>
      <c r="P53" s="6"/>
      <c r="Q53" s="6">
        <f t="shared" si="10"/>
        <v>3.2552335095940237E-2</v>
      </c>
      <c r="R53" s="6">
        <f t="shared" si="11"/>
        <v>0.91260434667941781</v>
      </c>
    </row>
    <row r="54" spans="2:18">
      <c r="B54">
        <f t="shared" ref="B54:B100" si="20">B53+1</f>
        <v>51</v>
      </c>
      <c r="C54" s="4">
        <f t="shared" ref="C54:C100" si="21">C53+0.2</f>
        <v>9.7999999999999972</v>
      </c>
      <c r="E54" s="6">
        <f t="shared" si="2"/>
        <v>9.4897345998364978E-4</v>
      </c>
      <c r="F54" s="6">
        <f t="shared" si="3"/>
        <v>0.99825488130047113</v>
      </c>
      <c r="G54" s="6"/>
      <c r="H54" s="6">
        <f t="shared" si="4"/>
        <v>3.7232915354621756E-3</v>
      </c>
      <c r="I54" s="6">
        <f t="shared" si="5"/>
        <v>0.99255341692907562</v>
      </c>
      <c r="J54" s="6"/>
      <c r="K54" s="6">
        <f t="shared" si="6"/>
        <v>9.2999399078397705E-3</v>
      </c>
      <c r="L54" s="6">
        <f t="shared" si="7"/>
        <v>0.97965500148479157</v>
      </c>
      <c r="M54" s="6"/>
      <c r="N54" s="6">
        <f t="shared" si="8"/>
        <v>1.8244128523764655E-2</v>
      </c>
      <c r="O54" s="6">
        <f t="shared" si="9"/>
        <v>0.95606515988154639</v>
      </c>
      <c r="P54" s="6"/>
      <c r="Q54" s="6">
        <f t="shared" si="10"/>
        <v>3.0379803698943227E-2</v>
      </c>
      <c r="R54" s="6">
        <f t="shared" si="11"/>
        <v>0.91889539408690513</v>
      </c>
    </row>
    <row r="55" spans="2:18">
      <c r="B55">
        <f t="shared" si="20"/>
        <v>52</v>
      </c>
      <c r="C55" s="4">
        <f t="shared" si="21"/>
        <v>9.9999999999999964</v>
      </c>
      <c r="E55" s="6">
        <f t="shared" si="2"/>
        <v>8.5003666025203586E-4</v>
      </c>
      <c r="F55" s="6">
        <f t="shared" si="3"/>
        <v>0.9984345977419975</v>
      </c>
      <c r="G55" s="6"/>
      <c r="H55" s="6">
        <f t="shared" si="4"/>
        <v>3.3689734995427396E-3</v>
      </c>
      <c r="I55" s="6">
        <f t="shared" si="5"/>
        <v>0.99326205300091452</v>
      </c>
      <c r="J55" s="6"/>
      <c r="K55" s="6">
        <f t="shared" si="6"/>
        <v>8.500366602520357E-3</v>
      </c>
      <c r="L55" s="6">
        <f t="shared" si="7"/>
        <v>0.98143386453695669</v>
      </c>
      <c r="M55" s="6"/>
      <c r="N55" s="6">
        <f t="shared" si="8"/>
        <v>1.6844867497713696E-2</v>
      </c>
      <c r="O55" s="6">
        <f t="shared" si="9"/>
        <v>0.95957231800548715</v>
      </c>
      <c r="P55" s="6"/>
      <c r="Q55" s="6">
        <f t="shared" si="10"/>
        <v>2.833455534173451E-2</v>
      </c>
      <c r="R55" s="6">
        <f t="shared" si="11"/>
        <v>0.92476475385348778</v>
      </c>
    </row>
    <row r="56" spans="2:18">
      <c r="B56">
        <f t="shared" si="20"/>
        <v>53</v>
      </c>
      <c r="C56" s="4">
        <f t="shared" si="21"/>
        <v>10.199999999999996</v>
      </c>
      <c r="E56" s="6">
        <f t="shared" si="2"/>
        <v>7.6156700906876451E-4</v>
      </c>
      <c r="F56" s="6">
        <f t="shared" si="3"/>
        <v>0.99859559346246884</v>
      </c>
      <c r="G56" s="6"/>
      <c r="H56" s="6">
        <f t="shared" si="4"/>
        <v>3.0483732827578242E-3</v>
      </c>
      <c r="I56" s="6">
        <f t="shared" si="5"/>
        <v>0.99390325343448438</v>
      </c>
      <c r="J56" s="6"/>
      <c r="K56" s="6">
        <f t="shared" si="6"/>
        <v>7.767983492501399E-3</v>
      </c>
      <c r="L56" s="6">
        <f t="shared" si="7"/>
        <v>0.98305962647746603</v>
      </c>
      <c r="M56" s="6"/>
      <c r="N56" s="6">
        <f t="shared" si="8"/>
        <v>1.5546703742064898E-2</v>
      </c>
      <c r="O56" s="6">
        <f t="shared" si="9"/>
        <v>0.96280984595035457</v>
      </c>
      <c r="P56" s="6"/>
      <c r="Q56" s="6">
        <f t="shared" si="10"/>
        <v>2.6411143874504744E-2</v>
      </c>
      <c r="R56" s="6">
        <f t="shared" si="11"/>
        <v>0.9302373387284566</v>
      </c>
    </row>
    <row r="57" spans="2:18">
      <c r="B57">
        <f t="shared" si="20"/>
        <v>54</v>
      </c>
      <c r="C57" s="4">
        <f t="shared" si="21"/>
        <v>10.399999999999995</v>
      </c>
      <c r="E57" s="6">
        <f t="shared" si="2"/>
        <v>6.8243625380997328E-4</v>
      </c>
      <c r="F57" s="6">
        <f t="shared" si="3"/>
        <v>0.9987398468623897</v>
      </c>
      <c r="G57" s="6"/>
      <c r="H57" s="6">
        <f t="shared" si="4"/>
        <v>2.7582822103803931E-3</v>
      </c>
      <c r="I57" s="6">
        <f t="shared" si="5"/>
        <v>0.99448343557923924</v>
      </c>
      <c r="J57" s="6"/>
      <c r="K57" s="6">
        <f t="shared" si="6"/>
        <v>7.0973370396237214E-3</v>
      </c>
      <c r="L57" s="6">
        <f t="shared" si="7"/>
        <v>0.98454517278314224</v>
      </c>
      <c r="M57" s="6"/>
      <c r="N57" s="6">
        <f t="shared" si="8"/>
        <v>1.4343067493978042E-2</v>
      </c>
      <c r="O57" s="6">
        <f t="shared" si="9"/>
        <v>0.96579730059128321</v>
      </c>
      <c r="P57" s="6"/>
      <c r="Q57" s="6">
        <f t="shared" si="10"/>
        <v>2.4604101737362216E-2</v>
      </c>
      <c r="R57" s="6">
        <f t="shared" si="11"/>
        <v>0.93533696930841781</v>
      </c>
    </row>
    <row r="58" spans="2:18">
      <c r="B58">
        <f t="shared" si="20"/>
        <v>55</v>
      </c>
      <c r="C58" s="4">
        <f t="shared" si="21"/>
        <v>10.599999999999994</v>
      </c>
      <c r="E58" s="6">
        <f t="shared" si="2"/>
        <v>6.116407034234962E-4</v>
      </c>
      <c r="F58" s="6">
        <f t="shared" si="3"/>
        <v>0.99886912339947209</v>
      </c>
      <c r="G58" s="6"/>
      <c r="H58" s="6">
        <f t="shared" si="4"/>
        <v>2.495796953455115E-3</v>
      </c>
      <c r="I58" s="6">
        <f t="shared" si="5"/>
        <v>0.99500840609308971</v>
      </c>
      <c r="J58" s="6"/>
      <c r="K58" s="6">
        <f t="shared" si="6"/>
        <v>6.4833914562890602E-3</v>
      </c>
      <c r="L58" s="6">
        <f t="shared" si="7"/>
        <v>0.98590234048689396</v>
      </c>
      <c r="M58" s="6"/>
      <c r="N58" s="6">
        <f t="shared" si="8"/>
        <v>1.3227723853312105E-2</v>
      </c>
      <c r="O58" s="6">
        <f t="shared" si="9"/>
        <v>0.9685529583864656</v>
      </c>
      <c r="P58" s="6"/>
      <c r="Q58" s="6">
        <f t="shared" si="10"/>
        <v>2.2907983145554662E-2</v>
      </c>
      <c r="R58" s="6">
        <f t="shared" si="11"/>
        <v>0.94008637419578467</v>
      </c>
    </row>
    <row r="59" spans="2:18">
      <c r="B59">
        <f t="shared" si="20"/>
        <v>56</v>
      </c>
      <c r="C59" s="4">
        <f t="shared" si="21"/>
        <v>10.799999999999994</v>
      </c>
      <c r="E59" s="6">
        <f t="shared" si="2"/>
        <v>5.482870467215091E-4</v>
      </c>
      <c r="F59" s="6">
        <f t="shared" si="3"/>
        <v>0.99898499905288696</v>
      </c>
      <c r="G59" s="6"/>
      <c r="H59" s="6">
        <f t="shared" si="4"/>
        <v>2.2582904713063412E-3</v>
      </c>
      <c r="I59" s="6">
        <f t="shared" si="5"/>
        <v>0.99548341905738735</v>
      </c>
      <c r="J59" s="6"/>
      <c r="K59" s="6">
        <f t="shared" si="6"/>
        <v>5.9215001045922954E-3</v>
      </c>
      <c r="L59" s="6">
        <f t="shared" si="7"/>
        <v>0.98714199884370235</v>
      </c>
      <c r="M59" s="6"/>
      <c r="N59" s="6">
        <f t="shared" si="8"/>
        <v>1.2194768545054238E-2</v>
      </c>
      <c r="O59" s="6">
        <f t="shared" si="9"/>
        <v>0.97109388196727886</v>
      </c>
      <c r="P59" s="6"/>
      <c r="Q59" s="6">
        <f t="shared" si="10"/>
        <v>2.131740037653225E-2</v>
      </c>
      <c r="R59" s="6">
        <f t="shared" si="11"/>
        <v>0.94450719809063788</v>
      </c>
    </row>
    <row r="60" spans="2:18">
      <c r="B60">
        <f t="shared" si="20"/>
        <v>57</v>
      </c>
      <c r="C60" s="4">
        <f t="shared" si="21"/>
        <v>10.999999999999993</v>
      </c>
      <c r="E60" s="6">
        <f t="shared" si="2"/>
        <v>4.9157985005762348E-4</v>
      </c>
      <c r="F60" s="6">
        <f t="shared" si="3"/>
        <v>0.99908888112284633</v>
      </c>
      <c r="G60" s="6"/>
      <c r="H60" s="6">
        <f t="shared" si="4"/>
        <v>2.0433857192320407E-3</v>
      </c>
      <c r="I60" s="6">
        <f t="shared" si="5"/>
        <v>0.99591322856153597</v>
      </c>
      <c r="J60" s="6"/>
      <c r="K60" s="6">
        <f t="shared" si="6"/>
        <v>5.4073783506338588E-3</v>
      </c>
      <c r="L60" s="6">
        <f t="shared" si="7"/>
        <v>0.98827412442157858</v>
      </c>
      <c r="M60" s="6"/>
      <c r="N60" s="6">
        <f t="shared" si="8"/>
        <v>1.1238621455776216E-2</v>
      </c>
      <c r="O60" s="6">
        <f t="shared" si="9"/>
        <v>0.97343598564998346</v>
      </c>
      <c r="P60" s="6"/>
      <c r="Q60" s="6">
        <f t="shared" si="10"/>
        <v>1.9827053952324127E-2</v>
      </c>
      <c r="R60" s="6">
        <f t="shared" si="11"/>
        <v>0.94862001651693029</v>
      </c>
    </row>
    <row r="61" spans="2:18">
      <c r="B61">
        <f t="shared" si="20"/>
        <v>58</v>
      </c>
      <c r="C61" s="4">
        <f t="shared" si="21"/>
        <v>11.199999999999992</v>
      </c>
      <c r="E61" s="6">
        <f t="shared" si="2"/>
        <v>4.4081052544684351E-4</v>
      </c>
      <c r="F61" s="6">
        <f t="shared" si="3"/>
        <v>0.99918202668000555</v>
      </c>
      <c r="G61" s="6"/>
      <c r="H61" s="6">
        <f t="shared" si="4"/>
        <v>1.8489318582414725E-3</v>
      </c>
      <c r="I61" s="6">
        <f t="shared" si="5"/>
        <v>0.99630213628351705</v>
      </c>
      <c r="J61" s="6"/>
      <c r="K61" s="6">
        <f t="shared" si="6"/>
        <v>4.9370778850046475E-3</v>
      </c>
      <c r="L61" s="6">
        <f t="shared" si="7"/>
        <v>0.98930787090999628</v>
      </c>
      <c r="M61" s="6"/>
      <c r="N61" s="6">
        <f t="shared" si="8"/>
        <v>1.0354018406152243E-2</v>
      </c>
      <c r="O61" s="6">
        <f t="shared" si="9"/>
        <v>0.97559409947121256</v>
      </c>
      <c r="P61" s="6"/>
      <c r="Q61" s="6">
        <f t="shared" si="10"/>
        <v>1.843175743735067E-2</v>
      </c>
      <c r="R61" s="6">
        <f t="shared" si="11"/>
        <v>0.95244435603529498</v>
      </c>
    </row>
    <row r="62" spans="2:18">
      <c r="B62">
        <f t="shared" si="20"/>
        <v>59</v>
      </c>
      <c r="C62" s="4">
        <f t="shared" si="21"/>
        <v>11.399999999999991</v>
      </c>
      <c r="E62" s="6">
        <f t="shared" si="2"/>
        <v>3.9534758779611456E-4</v>
      </c>
      <c r="F62" s="6">
        <f t="shared" si="3"/>
        <v>0.9992655589402144</v>
      </c>
      <c r="G62" s="6"/>
      <c r="H62" s="6">
        <f t="shared" si="4"/>
        <v>1.6729827287356436E-3</v>
      </c>
      <c r="I62" s="6">
        <f t="shared" si="5"/>
        <v>0.99665403454252877</v>
      </c>
      <c r="J62" s="6"/>
      <c r="K62" s="6">
        <f t="shared" si="6"/>
        <v>4.5069625008757061E-3</v>
      </c>
      <c r="L62" s="6">
        <f t="shared" si="7"/>
        <v>0.99025163393846305</v>
      </c>
      <c r="M62" s="6"/>
      <c r="N62" s="6">
        <f t="shared" si="8"/>
        <v>9.5360015537931647E-3</v>
      </c>
      <c r="O62" s="6">
        <f t="shared" si="9"/>
        <v>0.97758203143494238</v>
      </c>
      <c r="P62" s="6"/>
      <c r="Q62" s="6">
        <f t="shared" si="10"/>
        <v>1.7126457503327665E-2</v>
      </c>
      <c r="R62" s="6">
        <f t="shared" si="11"/>
        <v>0.95599871893180777</v>
      </c>
    </row>
    <row r="63" spans="2:18">
      <c r="B63">
        <f t="shared" si="20"/>
        <v>60</v>
      </c>
      <c r="C63" s="4">
        <f t="shared" si="21"/>
        <v>11.599999999999991</v>
      </c>
      <c r="E63" s="6">
        <f t="shared" si="2"/>
        <v>3.5462804360851871E-4</v>
      </c>
      <c r="F63" s="6">
        <f t="shared" si="3"/>
        <v>0.99934048180630897</v>
      </c>
      <c r="G63" s="6"/>
      <c r="H63" s="6">
        <f t="shared" si="4"/>
        <v>1.5137773726879146E-3</v>
      </c>
      <c r="I63" s="6">
        <f t="shared" si="5"/>
        <v>0.99697244525462414</v>
      </c>
      <c r="J63" s="6"/>
      <c r="K63" s="6">
        <f t="shared" si="6"/>
        <v>4.1136853058588154E-3</v>
      </c>
      <c r="L63" s="6">
        <f t="shared" si="7"/>
        <v>0.99111311119459133</v>
      </c>
      <c r="M63" s="6"/>
      <c r="N63" s="6">
        <f t="shared" si="8"/>
        <v>8.7799087615898982E-3</v>
      </c>
      <c r="O63" s="6">
        <f t="shared" si="9"/>
        <v>0.97941262773144433</v>
      </c>
      <c r="P63" s="6"/>
      <c r="Q63" s="6">
        <f t="shared" si="10"/>
        <v>1.590624984932074E-2</v>
      </c>
      <c r="R63" s="6">
        <f t="shared" si="11"/>
        <v>0.95930061149594992</v>
      </c>
    </row>
    <row r="64" spans="2:18">
      <c r="B64">
        <f t="shared" si="20"/>
        <v>61</v>
      </c>
      <c r="C64" s="4">
        <f t="shared" si="21"/>
        <v>11.79999999999999</v>
      </c>
      <c r="E64" s="6">
        <f t="shared" si="2"/>
        <v>3.1814977390519085E-4</v>
      </c>
      <c r="F64" s="6">
        <f t="shared" si="3"/>
        <v>0.99940769278920005</v>
      </c>
      <c r="G64" s="6"/>
      <c r="H64" s="6">
        <f t="shared" si="4"/>
        <v>1.3697224093841913E-3</v>
      </c>
      <c r="I64" s="6">
        <f t="shared" si="5"/>
        <v>0.99726055518123158</v>
      </c>
      <c r="J64" s="6"/>
      <c r="K64" s="6">
        <f t="shared" si="6"/>
        <v>3.7541673320812502E-3</v>
      </c>
      <c r="L64" s="6">
        <f t="shared" si="7"/>
        <v>0.99189935812503749</v>
      </c>
      <c r="M64" s="6"/>
      <c r="N64" s="6">
        <f t="shared" si="8"/>
        <v>8.0813622153667261E-3</v>
      </c>
      <c r="O64" s="6">
        <f t="shared" si="9"/>
        <v>0.98109783075049817</v>
      </c>
      <c r="P64" s="6"/>
      <c r="Q64" s="6">
        <f t="shared" si="10"/>
        <v>1.4766391506186234E-2</v>
      </c>
      <c r="R64" s="6">
        <f t="shared" si="11"/>
        <v>0.9623665751126651</v>
      </c>
    </row>
    <row r="65" spans="2:18">
      <c r="B65">
        <f t="shared" si="20"/>
        <v>62</v>
      </c>
      <c r="C65" s="4">
        <f t="shared" si="21"/>
        <v>11.999999999999989</v>
      </c>
      <c r="E65" s="6">
        <f t="shared" si="2"/>
        <v>2.8546479167585663E-4</v>
      </c>
      <c r="F65" s="6">
        <f t="shared" si="3"/>
        <v>0.99946799449486079</v>
      </c>
      <c r="G65" s="6"/>
      <c r="H65" s="6">
        <f t="shared" si="4"/>
        <v>1.2393760883331858E-3</v>
      </c>
      <c r="I65" s="6">
        <f t="shared" si="5"/>
        <v>0.99752124782333362</v>
      </c>
      <c r="J65" s="6"/>
      <c r="K65" s="6">
        <f t="shared" si="6"/>
        <v>3.4255775001102774E-3</v>
      </c>
      <c r="L65" s="6">
        <f t="shared" si="7"/>
        <v>0.99261683949464019</v>
      </c>
      <c r="M65" s="6"/>
      <c r="N65" s="6">
        <f t="shared" si="8"/>
        <v>7.4362565299991084E-3</v>
      </c>
      <c r="O65" s="6">
        <f t="shared" si="9"/>
        <v>0.98264873476333547</v>
      </c>
      <c r="P65" s="6"/>
      <c r="Q65" s="6">
        <f t="shared" si="10"/>
        <v>1.3702310000441097E-2</v>
      </c>
      <c r="R65" s="6">
        <f t="shared" si="11"/>
        <v>0.96521221949375802</v>
      </c>
    </row>
    <row r="66" spans="2:18">
      <c r="B66">
        <f t="shared" si="20"/>
        <v>63</v>
      </c>
      <c r="C66" s="4">
        <f t="shared" si="21"/>
        <v>12.199999999999989</v>
      </c>
      <c r="E66" s="6">
        <f t="shared" si="2"/>
        <v>2.5617326933986216E-4</v>
      </c>
      <c r="F66" s="6">
        <f t="shared" si="3"/>
        <v>0.99952210484143122</v>
      </c>
      <c r="G66" s="6"/>
      <c r="H66" s="6">
        <f t="shared" si="4"/>
        <v>1.1214338597429075E-3</v>
      </c>
      <c r="I66" s="6">
        <f t="shared" si="5"/>
        <v>0.99775713228051421</v>
      </c>
      <c r="J66" s="6"/>
      <c r="K66" s="6">
        <f t="shared" si="6"/>
        <v>3.1253138859463178E-3</v>
      </c>
      <c r="L66" s="6">
        <f t="shared" si="7"/>
        <v>0.99327147706953856</v>
      </c>
      <c r="M66" s="6"/>
      <c r="N66" s="6">
        <f t="shared" si="8"/>
        <v>6.8407465444317314E-3</v>
      </c>
      <c r="O66" s="6">
        <f t="shared" si="9"/>
        <v>0.98407563919165075</v>
      </c>
      <c r="P66" s="6"/>
      <c r="Q66" s="6">
        <f t="shared" si="10"/>
        <v>1.2709609802848345E-2</v>
      </c>
      <c r="R66" s="6">
        <f t="shared" si="11"/>
        <v>0.96785225746384196</v>
      </c>
    </row>
    <row r="67" spans="2:18">
      <c r="B67">
        <f t="shared" si="20"/>
        <v>64</v>
      </c>
      <c r="C67" s="4">
        <f t="shared" si="21"/>
        <v>12.399999999999988</v>
      </c>
      <c r="E67" s="6">
        <f t="shared" si="2"/>
        <v>2.2991824482579095E-4</v>
      </c>
      <c r="F67" s="6">
        <f t="shared" si="3"/>
        <v>0.99957066615110168</v>
      </c>
      <c r="G67" s="6"/>
      <c r="H67" s="6">
        <f t="shared" si="4"/>
        <v>1.0147153181478733E-3</v>
      </c>
      <c r="I67" s="6">
        <f t="shared" si="5"/>
        <v>0.99797056936370421</v>
      </c>
      <c r="J67" s="6"/>
      <c r="K67" s="6">
        <f t="shared" si="6"/>
        <v>2.8509862358398058E-3</v>
      </c>
      <c r="L67" s="6">
        <f t="shared" si="7"/>
        <v>0.9938686936794221</v>
      </c>
      <c r="M67" s="6"/>
      <c r="N67" s="6">
        <f t="shared" si="8"/>
        <v>6.2912349725168081E-3</v>
      </c>
      <c r="O67" s="6">
        <f t="shared" si="9"/>
        <v>0.98538809941867056</v>
      </c>
      <c r="P67" s="6"/>
      <c r="Q67" s="6">
        <f t="shared" si="10"/>
        <v>1.1784076441471185E-2</v>
      </c>
      <c r="R67" s="6">
        <f t="shared" si="11"/>
        <v>0.97030054079647965</v>
      </c>
    </row>
    <row r="68" spans="2:18">
      <c r="B68">
        <f t="shared" si="20"/>
        <v>65</v>
      </c>
      <c r="C68" s="4">
        <f t="shared" si="21"/>
        <v>12.599999999999987</v>
      </c>
      <c r="E68" s="6">
        <f t="shared" si="2"/>
        <v>2.0638092625477873E-4</v>
      </c>
      <c r="F68" s="6">
        <f t="shared" si="3"/>
        <v>0.99961425324431796</v>
      </c>
      <c r="G68" s="6"/>
      <c r="H68" s="6">
        <f t="shared" si="4"/>
        <v>9.181523885144592E-4</v>
      </c>
      <c r="I68" s="6">
        <f t="shared" si="5"/>
        <v>0.9981636952229711</v>
      </c>
      <c r="J68" s="6"/>
      <c r="K68" s="6">
        <f t="shared" si="6"/>
        <v>2.6003996708102105E-3</v>
      </c>
      <c r="L68" s="6">
        <f t="shared" si="7"/>
        <v>0.99441345390269764</v>
      </c>
      <c r="M68" s="6"/>
      <c r="N68" s="6">
        <f t="shared" si="8"/>
        <v>5.7843600476410878E-3</v>
      </c>
      <c r="O68" s="6">
        <f t="shared" si="9"/>
        <v>0.9865949751276889</v>
      </c>
      <c r="P68" s="6"/>
      <c r="Q68" s="6">
        <f t="shared" si="10"/>
        <v>1.0921678617402871E-2</v>
      </c>
      <c r="R68" s="6">
        <f t="shared" si="11"/>
        <v>0.97257009666789185</v>
      </c>
    </row>
    <row r="69" spans="2:18">
      <c r="B69">
        <f t="shared" si="20"/>
        <v>66</v>
      </c>
      <c r="C69" s="4">
        <f t="shared" si="21"/>
        <v>12.799999999999986</v>
      </c>
      <c r="E69" s="6">
        <f t="shared" ref="E69:E100" si="22">_xlfn.CHISQ.DIST($C69,E$2,0)</f>
        <v>1.8527652508991725E-4</v>
      </c>
      <c r="F69" s="6">
        <f t="shared" ref="F69:F100" si="23">_xlfn.CHISQ.DIST($C69,E$2,1)</f>
        <v>0.99965338064886533</v>
      </c>
      <c r="G69" s="6"/>
      <c r="H69" s="6">
        <f t="shared" ref="H69:H100" si="24">_xlfn.CHISQ.DIST($C69,H$2,0)</f>
        <v>8.3077863658697292E-4</v>
      </c>
      <c r="I69" s="6">
        <f t="shared" ref="I69:I100" si="25">_xlfn.CHISQ.DIST($C69,H$2,1)</f>
        <v>0.99833844272682604</v>
      </c>
      <c r="J69" s="6"/>
      <c r="K69" s="6">
        <f t="shared" ref="K69:K100" si="26">_xlfn.CHISQ.DIST($C69,K$2,0)</f>
        <v>2.371539521150939E-3</v>
      </c>
      <c r="L69" s="6">
        <f t="shared" ref="L69:L100" si="27">_xlfn.CHISQ.DIST($C69,K$2,1)</f>
        <v>0.99491030160656346</v>
      </c>
      <c r="M69" s="6"/>
      <c r="N69" s="6">
        <f t="shared" ref="N69:N100" si="28">_xlfn.CHISQ.DIST($C69,N$2,0)</f>
        <v>5.3169832741566218E-3</v>
      </c>
      <c r="O69" s="6">
        <f t="shared" ref="O69:O100" si="29">_xlfn.CHISQ.DIST($C69,N$2,1)</f>
        <v>0.98770447617851276</v>
      </c>
      <c r="P69" s="6"/>
      <c r="Q69" s="6">
        <f t="shared" ref="Q69:Q100" si="30">_xlfn.CHISQ.DIST($C69,Q$2,0)</f>
        <v>1.0118568623577328E-2</v>
      </c>
      <c r="R69" s="6">
        <f t="shared" ref="R69:R100" si="31">_xlfn.CHISQ.DIST($C69,Q$2,1)</f>
        <v>0.97467316435940887</v>
      </c>
    </row>
    <row r="70" spans="2:18">
      <c r="B70">
        <f t="shared" si="20"/>
        <v>67</v>
      </c>
      <c r="C70" s="4">
        <f t="shared" si="21"/>
        <v>12.999999999999986</v>
      </c>
      <c r="E70" s="6">
        <f t="shared" si="22"/>
        <v>1.6635055620286028E-4</v>
      </c>
      <c r="F70" s="6">
        <f t="shared" si="23"/>
        <v>0.99968850902323259</v>
      </c>
      <c r="G70" s="6"/>
      <c r="H70" s="6">
        <f t="shared" si="24"/>
        <v>7.5171959648879139E-4</v>
      </c>
      <c r="I70" s="6">
        <f t="shared" si="25"/>
        <v>0.99849656080702243</v>
      </c>
      <c r="J70" s="6"/>
      <c r="K70" s="6">
        <f t="shared" si="26"/>
        <v>2.1625572306371819E-3</v>
      </c>
      <c r="L70" s="6">
        <f t="shared" si="27"/>
        <v>0.99536339456195821</v>
      </c>
      <c r="M70" s="6"/>
      <c r="N70" s="6">
        <f t="shared" si="28"/>
        <v>4.8861773771771413E-3</v>
      </c>
      <c r="O70" s="6">
        <f t="shared" si="29"/>
        <v>0.9887242060526682</v>
      </c>
      <c r="P70" s="6"/>
      <c r="Q70" s="6">
        <f t="shared" si="30"/>
        <v>9.3710813327611102E-3</v>
      </c>
      <c r="R70" s="6">
        <f t="shared" si="31"/>
        <v>0.97662123189643602</v>
      </c>
    </row>
    <row r="71" spans="2:18">
      <c r="B71">
        <f t="shared" si="20"/>
        <v>68</v>
      </c>
      <c r="C71" s="4">
        <f t="shared" si="21"/>
        <v>13.199999999999985</v>
      </c>
      <c r="E71" s="6">
        <f t="shared" si="22"/>
        <v>1.4937555078811768E-4</v>
      </c>
      <c r="F71" s="6">
        <f t="shared" si="23"/>
        <v>0.9997200508821199</v>
      </c>
      <c r="G71" s="6"/>
      <c r="H71" s="6">
        <f t="shared" si="24"/>
        <v>6.8018401877395181E-4</v>
      </c>
      <c r="I71" s="6">
        <f t="shared" si="25"/>
        <v>0.99863963196245209</v>
      </c>
      <c r="J71" s="6"/>
      <c r="K71" s="6">
        <f t="shared" si="26"/>
        <v>1.971757270403151E-3</v>
      </c>
      <c r="L71" s="6">
        <f t="shared" si="27"/>
        <v>0.99577653634131358</v>
      </c>
      <c r="M71" s="6"/>
      <c r="N71" s="6">
        <f t="shared" si="28"/>
        <v>4.4892145239080776E-3</v>
      </c>
      <c r="O71" s="6">
        <f t="shared" si="29"/>
        <v>0.98966120291463588</v>
      </c>
      <c r="P71" s="6"/>
      <c r="Q71" s="6">
        <f t="shared" si="30"/>
        <v>8.6757319897738557E-3</v>
      </c>
      <c r="R71" s="6">
        <f t="shared" si="31"/>
        <v>0.9784250723617659</v>
      </c>
    </row>
    <row r="72" spans="2:18">
      <c r="B72">
        <f t="shared" si="20"/>
        <v>69</v>
      </c>
      <c r="C72" s="4">
        <f t="shared" si="21"/>
        <v>13.399999999999984</v>
      </c>
      <c r="E72" s="6">
        <f t="shared" si="22"/>
        <v>1.3414813457801023E-4</v>
      </c>
      <c r="F72" s="6">
        <f t="shared" si="23"/>
        <v>0.99974837570180108</v>
      </c>
      <c r="G72" s="6"/>
      <c r="H72" s="6">
        <f t="shared" si="24"/>
        <v>6.1545595133674538E-4</v>
      </c>
      <c r="I72" s="6">
        <f t="shared" si="25"/>
        <v>0.99876908809732656</v>
      </c>
      <c r="J72" s="6"/>
      <c r="K72" s="6">
        <f t="shared" si="26"/>
        <v>1.7975850033453357E-3</v>
      </c>
      <c r="L72" s="6">
        <f t="shared" si="27"/>
        <v>0.99615320569511046</v>
      </c>
      <c r="M72" s="6"/>
      <c r="N72" s="6">
        <f t="shared" si="28"/>
        <v>4.1235548739561893E-3</v>
      </c>
      <c r="O72" s="6">
        <f t="shared" si="29"/>
        <v>0.99052197834941413</v>
      </c>
      <c r="P72" s="6"/>
      <c r="Q72" s="6">
        <f t="shared" si="30"/>
        <v>8.0292130149424885E-3</v>
      </c>
      <c r="R72" s="6">
        <f t="shared" si="31"/>
        <v>0.98009477966522551</v>
      </c>
    </row>
    <row r="73" spans="2:18">
      <c r="B73">
        <f t="shared" si="20"/>
        <v>70</v>
      </c>
      <c r="C73" s="4">
        <f t="shared" si="21"/>
        <v>13.599999999999984</v>
      </c>
      <c r="E73" s="6">
        <f t="shared" si="22"/>
        <v>1.2048642950687626E-4</v>
      </c>
      <c r="F73" s="6">
        <f t="shared" si="23"/>
        <v>0.99977381447412872</v>
      </c>
      <c r="G73" s="6"/>
      <c r="H73" s="6">
        <f t="shared" si="24"/>
        <v>5.5688757392240607E-4</v>
      </c>
      <c r="I73" s="6">
        <f t="shared" si="25"/>
        <v>0.99888622485215517</v>
      </c>
      <c r="J73" s="6"/>
      <c r="K73" s="6">
        <f t="shared" si="26"/>
        <v>1.6386154412935151E-3</v>
      </c>
      <c r="L73" s="6">
        <f t="shared" si="27"/>
        <v>0.99649658359154158</v>
      </c>
      <c r="M73" s="6"/>
      <c r="N73" s="6">
        <f t="shared" si="28"/>
        <v>3.7868355026723574E-3</v>
      </c>
      <c r="O73" s="6">
        <f t="shared" si="29"/>
        <v>0.9913125538468105</v>
      </c>
      <c r="P73" s="6"/>
      <c r="Q73" s="6">
        <f t="shared" si="30"/>
        <v>7.4283900005305964E-3</v>
      </c>
      <c r="R73" s="6">
        <f t="shared" si="31"/>
        <v>0.98163980359048053</v>
      </c>
    </row>
    <row r="74" spans="2:18">
      <c r="B74">
        <f t="shared" si="20"/>
        <v>71</v>
      </c>
      <c r="C74" s="4">
        <f t="shared" si="21"/>
        <v>13.799999999999983</v>
      </c>
      <c r="E74" s="6">
        <f t="shared" si="22"/>
        <v>1.0822774195298635E-4</v>
      </c>
      <c r="F74" s="6">
        <f t="shared" si="23"/>
        <v>0.99979666377010512</v>
      </c>
      <c r="G74" s="6"/>
      <c r="H74" s="6">
        <f t="shared" si="24"/>
        <v>5.0389271452425967E-4</v>
      </c>
      <c r="I74" s="6">
        <f t="shared" si="25"/>
        <v>0.99899221457095144</v>
      </c>
      <c r="J74" s="6"/>
      <c r="K74" s="6">
        <f t="shared" si="26"/>
        <v>1.49354283895121E-3</v>
      </c>
      <c r="L74" s="6">
        <f t="shared" si="27"/>
        <v>0.99680957809220261</v>
      </c>
      <c r="M74" s="6"/>
      <c r="N74" s="6">
        <f t="shared" si="28"/>
        <v>3.4768597302173888E-3</v>
      </c>
      <c r="O74" s="6">
        <f t="shared" si="29"/>
        <v>0.99203849511051678</v>
      </c>
      <c r="P74" s="6"/>
      <c r="Q74" s="6">
        <f t="shared" si="30"/>
        <v>6.8702970591755586E-3</v>
      </c>
      <c r="R74" s="6">
        <f t="shared" si="31"/>
        <v>0.98306898397385156</v>
      </c>
    </row>
    <row r="75" spans="2:18">
      <c r="B75">
        <f t="shared" si="20"/>
        <v>72</v>
      </c>
      <c r="C75" s="4">
        <f t="shared" si="21"/>
        <v>13.999999999999982</v>
      </c>
      <c r="E75" s="6">
        <f t="shared" si="22"/>
        <v>9.7226505045915293E-5</v>
      </c>
      <c r="F75" s="6">
        <f t="shared" si="23"/>
        <v>0.99981718936701813</v>
      </c>
      <c r="G75" s="6"/>
      <c r="H75" s="6">
        <f t="shared" si="24"/>
        <v>4.5594098277726219E-4</v>
      </c>
      <c r="I75" s="6">
        <f t="shared" si="25"/>
        <v>0.99908811803444553</v>
      </c>
      <c r="J75" s="6"/>
      <c r="K75" s="6">
        <f t="shared" si="26"/>
        <v>1.3611710706428128E-3</v>
      </c>
      <c r="L75" s="6">
        <f t="shared" si="27"/>
        <v>0.99709484722573261</v>
      </c>
      <c r="M75" s="6"/>
      <c r="N75" s="6">
        <f t="shared" si="28"/>
        <v>3.1915868794408311E-3</v>
      </c>
      <c r="O75" s="6">
        <f t="shared" si="29"/>
        <v>0.99270494427556377</v>
      </c>
      <c r="P75" s="6"/>
      <c r="Q75" s="6">
        <f t="shared" si="30"/>
        <v>6.3521316629997875E-3</v>
      </c>
      <c r="R75" s="6">
        <f t="shared" si="31"/>
        <v>0.984390583899733</v>
      </c>
    </row>
    <row r="76" spans="2:18">
      <c r="B76">
        <f t="shared" si="20"/>
        <v>73</v>
      </c>
      <c r="C76" s="4">
        <f t="shared" si="21"/>
        <v>14.199999999999982</v>
      </c>
      <c r="E76" s="6">
        <f t="shared" si="22"/>
        <v>8.7352446347519099E-5</v>
      </c>
      <c r="F76" s="6">
        <f t="shared" si="23"/>
        <v>0.99983562948702387</v>
      </c>
      <c r="G76" s="6"/>
      <c r="H76" s="6">
        <f t="shared" si="24"/>
        <v>4.1255246163295593E-4</v>
      </c>
      <c r="I76" s="6">
        <f t="shared" si="25"/>
        <v>0.99917489507673407</v>
      </c>
      <c r="J76" s="6"/>
      <c r="K76" s="6">
        <f t="shared" si="26"/>
        <v>1.2404047381347697E-3</v>
      </c>
      <c r="L76" s="6">
        <f t="shared" si="27"/>
        <v>0.99735482001075437</v>
      </c>
      <c r="M76" s="6"/>
      <c r="N76" s="6">
        <f t="shared" si="28"/>
        <v>2.9291224775939845E-3</v>
      </c>
      <c r="O76" s="6">
        <f t="shared" si="29"/>
        <v>0.99331665012154613</v>
      </c>
      <c r="P76" s="6"/>
      <c r="Q76" s="6">
        <f t="shared" si="30"/>
        <v>5.871249093837903E-3</v>
      </c>
      <c r="R76" s="6">
        <f t="shared" si="31"/>
        <v>0.98561232182307856</v>
      </c>
    </row>
    <row r="77" spans="2:18">
      <c r="B77">
        <f t="shared" si="20"/>
        <v>74</v>
      </c>
      <c r="C77" s="4">
        <f t="shared" si="21"/>
        <v>14.399999999999981</v>
      </c>
      <c r="E77" s="6">
        <f t="shared" si="22"/>
        <v>7.8488955566413755E-5</v>
      </c>
      <c r="F77" s="6">
        <f t="shared" si="23"/>
        <v>0.99985219768966549</v>
      </c>
      <c r="G77" s="6"/>
      <c r="H77" s="6">
        <f t="shared" si="24"/>
        <v>3.7329290418834329E-4</v>
      </c>
      <c r="I77" s="6">
        <f t="shared" si="25"/>
        <v>0.99925341419162328</v>
      </c>
      <c r="J77" s="6"/>
      <c r="K77" s="6">
        <f t="shared" si="26"/>
        <v>1.130240960156357E-3</v>
      </c>
      <c r="L77" s="6">
        <f t="shared" si="27"/>
        <v>0.99759171576935279</v>
      </c>
      <c r="M77" s="6"/>
      <c r="N77" s="6">
        <f t="shared" si="28"/>
        <v>2.687708910156069E-3</v>
      </c>
      <c r="O77" s="6">
        <f t="shared" si="29"/>
        <v>0.99387799637131113</v>
      </c>
      <c r="P77" s="6"/>
      <c r="Q77" s="6">
        <f t="shared" si="30"/>
        <v>5.4251566087505079E-3</v>
      </c>
      <c r="R77" s="6">
        <f t="shared" si="31"/>
        <v>0.98674140255185183</v>
      </c>
    </row>
    <row r="78" spans="2:18">
      <c r="B78">
        <f t="shared" si="20"/>
        <v>75</v>
      </c>
      <c r="C78" s="4">
        <f t="shared" si="21"/>
        <v>14.59999999999998</v>
      </c>
      <c r="E78" s="6">
        <f t="shared" si="22"/>
        <v>7.0531629909466038E-5</v>
      </c>
      <c r="F78" s="6">
        <f t="shared" si="23"/>
        <v>0.99986708545604985</v>
      </c>
      <c r="G78" s="6"/>
      <c r="H78" s="6">
        <f t="shared" si="24"/>
        <v>3.377693875969255E-4</v>
      </c>
      <c r="I78" s="6">
        <f t="shared" si="25"/>
        <v>0.99932446122480612</v>
      </c>
      <c r="J78" s="6"/>
      <c r="K78" s="6">
        <f t="shared" si="26"/>
        <v>1.0297617966782031E-3</v>
      </c>
      <c r="L78" s="6">
        <f t="shared" si="27"/>
        <v>0.99780756186269337</v>
      </c>
      <c r="M78" s="6"/>
      <c r="N78" s="6">
        <f t="shared" si="28"/>
        <v>2.4657165294575531E-3</v>
      </c>
      <c r="O78" s="6">
        <f t="shared" si="29"/>
        <v>0.99439302816589104</v>
      </c>
      <c r="P78" s="6"/>
      <c r="Q78" s="6">
        <f t="shared" si="30"/>
        <v>5.0115074105005833E-3</v>
      </c>
      <c r="R78" s="6">
        <f t="shared" si="31"/>
        <v>0.98778454704169227</v>
      </c>
    </row>
    <row r="79" spans="2:18">
      <c r="B79">
        <f t="shared" si="20"/>
        <v>76</v>
      </c>
      <c r="C79" s="4">
        <f t="shared" si="21"/>
        <v>14.799999999999979</v>
      </c>
      <c r="E79" s="6">
        <f t="shared" si="22"/>
        <v>6.3386977261507889E-5</v>
      </c>
      <c r="F79" s="6">
        <f t="shared" si="23"/>
        <v>0.99988046449818702</v>
      </c>
      <c r="G79" s="6"/>
      <c r="H79" s="6">
        <f t="shared" si="24"/>
        <v>3.056263805647894E-4</v>
      </c>
      <c r="I79" s="6">
        <f t="shared" si="25"/>
        <v>0.99938874723887039</v>
      </c>
      <c r="J79" s="6"/>
      <c r="K79" s="6">
        <f t="shared" si="26"/>
        <v>9.3812726347031585E-4</v>
      </c>
      <c r="L79" s="6">
        <f t="shared" si="27"/>
        <v>0.99800420997124628</v>
      </c>
      <c r="M79" s="6"/>
      <c r="N79" s="6">
        <f t="shared" si="28"/>
        <v>2.2616352161794391E-3</v>
      </c>
      <c r="O79" s="6">
        <f t="shared" si="29"/>
        <v>0.9948654768065115</v>
      </c>
      <c r="P79" s="6"/>
      <c r="Q79" s="6">
        <f t="shared" si="30"/>
        <v>4.6280944997868856E-3</v>
      </c>
      <c r="R79" s="6">
        <f t="shared" si="31"/>
        <v>0.98874802097167258</v>
      </c>
    </row>
    <row r="80" spans="2:18">
      <c r="B80">
        <f t="shared" si="20"/>
        <v>77</v>
      </c>
      <c r="C80" s="4">
        <f t="shared" si="21"/>
        <v>14.999999999999979</v>
      </c>
      <c r="E80" s="6">
        <f t="shared" si="22"/>
        <v>5.6971259661428075E-5</v>
      </c>
      <c r="F80" s="6">
        <f t="shared" si="23"/>
        <v>0.99989248882327053</v>
      </c>
      <c r="G80" s="6"/>
      <c r="H80" s="6">
        <f t="shared" si="24"/>
        <v>2.7654218507391974E-4</v>
      </c>
      <c r="I80" s="6">
        <f t="shared" si="25"/>
        <v>0.99944691562985211</v>
      </c>
      <c r="J80" s="6"/>
      <c r="K80" s="6">
        <f t="shared" si="26"/>
        <v>8.5456889492142017E-4</v>
      </c>
      <c r="L80" s="6">
        <f t="shared" si="27"/>
        <v>0.9981833510334277</v>
      </c>
      <c r="M80" s="6"/>
      <c r="N80" s="6">
        <f t="shared" si="28"/>
        <v>2.0740663880543949E-3</v>
      </c>
      <c r="O80" s="6">
        <f t="shared" si="29"/>
        <v>0.9952987828537434</v>
      </c>
      <c r="P80" s="6"/>
      <c r="Q80" s="6">
        <f t="shared" si="30"/>
        <v>4.2728444746070945E-3</v>
      </c>
      <c r="R80" s="6">
        <f t="shared" si="31"/>
        <v>0.98963766208421355</v>
      </c>
    </row>
    <row r="81" spans="2:18">
      <c r="B81">
        <f t="shared" si="20"/>
        <v>78</v>
      </c>
      <c r="C81" s="4">
        <f t="shared" si="21"/>
        <v>15.199999999999978</v>
      </c>
      <c r="E81" s="6">
        <f t="shared" si="22"/>
        <v>5.1209461548067191E-5</v>
      </c>
      <c r="F81" s="6">
        <f t="shared" si="23"/>
        <v>0.99990329657937305</v>
      </c>
      <c r="G81" s="6"/>
      <c r="H81" s="6">
        <f t="shared" si="24"/>
        <v>2.5022571672030807E-4</v>
      </c>
      <c r="I81" s="6">
        <f t="shared" si="25"/>
        <v>0.99949954856655943</v>
      </c>
      <c r="J81" s="6"/>
      <c r="K81" s="6">
        <f t="shared" si="26"/>
        <v>7.7838381553062058E-4</v>
      </c>
      <c r="L81" s="6">
        <f t="shared" si="27"/>
        <v>0.99834652894831177</v>
      </c>
      <c r="M81" s="6"/>
      <c r="N81" s="6">
        <f t="shared" si="28"/>
        <v>1.9017154470743391E-3</v>
      </c>
      <c r="O81" s="6">
        <f t="shared" si="29"/>
        <v>0.99569611767241073</v>
      </c>
      <c r="P81" s="6"/>
      <c r="Q81" s="6">
        <f t="shared" si="30"/>
        <v>3.9438113320218061E-3</v>
      </c>
      <c r="R81" s="6">
        <f t="shared" si="31"/>
        <v>0.99045890628426814</v>
      </c>
    </row>
    <row r="82" spans="2:18">
      <c r="B82">
        <f t="shared" si="20"/>
        <v>79</v>
      </c>
      <c r="C82" s="4">
        <f t="shared" si="21"/>
        <v>15.399999999999977</v>
      </c>
      <c r="E82" s="6">
        <f t="shared" si="22"/>
        <v>4.6034369016850781E-5</v>
      </c>
      <c r="F82" s="6">
        <f t="shared" si="23"/>
        <v>0.99991301170610791</v>
      </c>
      <c r="G82" s="6"/>
      <c r="H82" s="6">
        <f t="shared" si="24"/>
        <v>2.2641359144340111E-4</v>
      </c>
      <c r="I82" s="6">
        <f t="shared" si="25"/>
        <v>0.99954717281711325</v>
      </c>
      <c r="J82" s="6"/>
      <c r="K82" s="6">
        <f t="shared" si="26"/>
        <v>7.0892928285950141E-4</v>
      </c>
      <c r="L82" s="6">
        <f t="shared" si="27"/>
        <v>0.99849515314038895</v>
      </c>
      <c r="M82" s="6"/>
      <c r="N82" s="6">
        <f t="shared" si="28"/>
        <v>1.7433846541141864E-3</v>
      </c>
      <c r="O82" s="6">
        <f t="shared" si="29"/>
        <v>0.99606040350888481</v>
      </c>
      <c r="P82" s="6"/>
      <c r="Q82" s="6">
        <f t="shared" si="30"/>
        <v>3.6391703186787671E-3</v>
      </c>
      <c r="R82" s="6">
        <f t="shared" si="31"/>
        <v>0.9912168125030314</v>
      </c>
    </row>
    <row r="83" spans="2:18">
      <c r="B83">
        <f t="shared" si="20"/>
        <v>80</v>
      </c>
      <c r="C83" s="4">
        <f t="shared" si="21"/>
        <v>15.599999999999977</v>
      </c>
      <c r="E83" s="6">
        <f t="shared" si="22"/>
        <v>4.1385747887280878E-5</v>
      </c>
      <c r="F83" s="6">
        <f t="shared" si="23"/>
        <v>0.99992174541121437</v>
      </c>
      <c r="G83" s="6"/>
      <c r="H83" s="6">
        <f t="shared" si="24"/>
        <v>2.0486748948989571E-4</v>
      </c>
      <c r="I83" s="6">
        <f t="shared" si="25"/>
        <v>0.99959026502102022</v>
      </c>
      <c r="J83" s="6"/>
      <c r="K83" s="6">
        <f t="shared" si="26"/>
        <v>6.4561766704158085E-4</v>
      </c>
      <c r="L83" s="6">
        <f t="shared" si="27"/>
        <v>0.99863051007713133</v>
      </c>
      <c r="M83" s="6"/>
      <c r="N83" s="6">
        <f t="shared" si="28"/>
        <v>1.5979664180211849E-3</v>
      </c>
      <c r="O83" s="6">
        <f t="shared" si="29"/>
        <v>0.99639433218497786</v>
      </c>
      <c r="P83" s="6"/>
      <c r="Q83" s="6">
        <f t="shared" si="30"/>
        <v>3.3572118686162173E-3</v>
      </c>
      <c r="R83" s="6">
        <f t="shared" si="31"/>
        <v>0.99191608633989881</v>
      </c>
    </row>
    <row r="84" spans="2:18">
      <c r="B84">
        <f t="shared" si="20"/>
        <v>81</v>
      </c>
      <c r="C84" s="4">
        <f t="shared" si="21"/>
        <v>15.799999999999976</v>
      </c>
      <c r="E84" s="6">
        <f t="shared" si="22"/>
        <v>3.7209609757878157E-5</v>
      </c>
      <c r="F84" s="6">
        <f t="shared" si="23"/>
        <v>0.99992959749172527</v>
      </c>
      <c r="G84" s="6"/>
      <c r="H84" s="6">
        <f t="shared" si="24"/>
        <v>1.8537177022954644E-4</v>
      </c>
      <c r="I84" s="6">
        <f t="shared" si="25"/>
        <v>0.99962925645954093</v>
      </c>
      <c r="J84" s="6"/>
      <c r="K84" s="6">
        <f t="shared" si="26"/>
        <v>5.8791183417447417E-4</v>
      </c>
      <c r="L84" s="6">
        <f t="shared" si="27"/>
        <v>0.99875377382337627</v>
      </c>
      <c r="M84" s="6"/>
      <c r="N84" s="6">
        <f t="shared" si="28"/>
        <v>1.4644369848134144E-3</v>
      </c>
      <c r="O84" s="6">
        <f t="shared" si="29"/>
        <v>0.99670038248991411</v>
      </c>
      <c r="P84" s="6"/>
      <c r="Q84" s="6">
        <f t="shared" si="30"/>
        <v>3.0963356599855614E-3</v>
      </c>
      <c r="R84" s="6">
        <f t="shared" si="31"/>
        <v>0.99256110250340512</v>
      </c>
    </row>
    <row r="85" spans="2:18">
      <c r="B85">
        <f t="shared" si="20"/>
        <v>82</v>
      </c>
      <c r="C85" s="4">
        <f t="shared" si="21"/>
        <v>15.999999999999975</v>
      </c>
      <c r="E85" s="6">
        <f t="shared" si="22"/>
        <v>3.3457556441221782E-5</v>
      </c>
      <c r="F85" s="6">
        <f t="shared" si="23"/>
        <v>0.99993665751633376</v>
      </c>
      <c r="G85" s="6"/>
      <c r="H85" s="6">
        <f t="shared" si="24"/>
        <v>1.6773131395125801E-4</v>
      </c>
      <c r="I85" s="6">
        <f t="shared" si="25"/>
        <v>0.99966453737209748</v>
      </c>
      <c r="J85" s="6"/>
      <c r="K85" s="6">
        <f t="shared" si="26"/>
        <v>5.3532090305954787E-4</v>
      </c>
      <c r="L85" s="6">
        <f t="shared" si="27"/>
        <v>0.99886601571021472</v>
      </c>
      <c r="M85" s="6"/>
      <c r="N85" s="6">
        <f t="shared" si="28"/>
        <v>1.3418505116100622E-3</v>
      </c>
      <c r="O85" s="6">
        <f t="shared" si="29"/>
        <v>0.99698083634887735</v>
      </c>
      <c r="P85" s="6"/>
      <c r="Q85" s="6">
        <f t="shared" si="30"/>
        <v>2.8550448163175844E-3</v>
      </c>
      <c r="R85" s="6">
        <f t="shared" si="31"/>
        <v>0.99315592607757952</v>
      </c>
    </row>
    <row r="86" spans="2:18">
      <c r="B86">
        <f t="shared" si="20"/>
        <v>83</v>
      </c>
      <c r="C86" s="4">
        <f t="shared" si="21"/>
        <v>16.199999999999974</v>
      </c>
      <c r="E86" s="6">
        <f t="shared" si="22"/>
        <v>3.0086194246818852E-5</v>
      </c>
      <c r="F86" s="6">
        <f t="shared" si="23"/>
        <v>0.99994300588376672</v>
      </c>
      <c r="G86" s="6"/>
      <c r="H86" s="6">
        <f t="shared" si="24"/>
        <v>1.5176956903943529E-4</v>
      </c>
      <c r="I86" s="6">
        <f t="shared" si="25"/>
        <v>0.9996964608619211</v>
      </c>
      <c r="J86" s="6"/>
      <c r="K86" s="6">
        <f t="shared" si="26"/>
        <v>4.8739634679846475E-4</v>
      </c>
      <c r="L86" s="6">
        <f t="shared" si="27"/>
        <v>0.99896821319016982</v>
      </c>
      <c r="M86" s="6"/>
      <c r="N86" s="6">
        <f t="shared" si="28"/>
        <v>1.2293335092194238E-3</v>
      </c>
      <c r="O86" s="6">
        <f t="shared" si="29"/>
        <v>0.99723779384348221</v>
      </c>
      <c r="P86" s="6"/>
      <c r="Q86" s="6">
        <f t="shared" si="30"/>
        <v>2.6319402727117054E-3</v>
      </c>
      <c r="R86" s="6">
        <f t="shared" si="31"/>
        <v>0.99370433264474634</v>
      </c>
    </row>
    <row r="87" spans="2:18">
      <c r="B87">
        <f t="shared" si="20"/>
        <v>84</v>
      </c>
      <c r="C87" s="4">
        <f t="shared" si="21"/>
        <v>16.399999999999974</v>
      </c>
      <c r="E87" s="6">
        <f t="shared" si="22"/>
        <v>2.7056610530623375E-5</v>
      </c>
      <c r="F87" s="6">
        <f t="shared" si="23"/>
        <v>0.9999487147703594</v>
      </c>
      <c r="G87" s="6"/>
      <c r="H87" s="6">
        <f t="shared" si="24"/>
        <v>1.3732678498607295E-4</v>
      </c>
      <c r="I87" s="6">
        <f t="shared" si="25"/>
        <v>0.99972534643002786</v>
      </c>
      <c r="J87" s="6"/>
      <c r="K87" s="6">
        <f t="shared" si="26"/>
        <v>4.4372841270222277E-4</v>
      </c>
      <c r="L87" s="6">
        <f t="shared" si="27"/>
        <v>0.99906125794495493</v>
      </c>
      <c r="M87" s="6"/>
      <c r="N87" s="6">
        <f t="shared" si="28"/>
        <v>1.1260796368857966E-3</v>
      </c>
      <c r="O87" s="6">
        <f t="shared" si="29"/>
        <v>0.99747318715625632</v>
      </c>
      <c r="P87" s="6"/>
      <c r="Q87" s="6">
        <f t="shared" si="30"/>
        <v>2.4257153227721481E-3</v>
      </c>
      <c r="R87" s="6">
        <f t="shared" si="31"/>
        <v>0.99420982729941065</v>
      </c>
    </row>
    <row r="88" spans="2:18">
      <c r="B88">
        <f t="shared" si="20"/>
        <v>85</v>
      </c>
      <c r="C88" s="4">
        <f t="shared" si="21"/>
        <v>16.599999999999973</v>
      </c>
      <c r="E88" s="6">
        <f t="shared" si="22"/>
        <v>2.4333905771953246E-5</v>
      </c>
      <c r="F88" s="6">
        <f t="shared" si="23"/>
        <v>0.99995384897859951</v>
      </c>
      <c r="G88" s="6"/>
      <c r="H88" s="6">
        <f t="shared" si="24"/>
        <v>1.2425841355397769E-4</v>
      </c>
      <c r="I88" s="6">
        <f t="shared" si="25"/>
        <v>0.99975148317289209</v>
      </c>
      <c r="J88" s="6"/>
      <c r="K88" s="6">
        <f t="shared" si="26"/>
        <v>4.0394283581442328E-4</v>
      </c>
      <c r="L88" s="6">
        <f t="shared" si="27"/>
        <v>0.99914596330697059</v>
      </c>
      <c r="M88" s="6"/>
      <c r="N88" s="6">
        <f t="shared" si="28"/>
        <v>1.0313448324980135E-3</v>
      </c>
      <c r="O88" s="6">
        <f t="shared" si="29"/>
        <v>0.99768879350789597</v>
      </c>
      <c r="P88" s="6"/>
      <c r="Q88" s="6">
        <f t="shared" si="30"/>
        <v>2.2351503581731396E-3</v>
      </c>
      <c r="R88" s="6">
        <f t="shared" si="31"/>
        <v>0.99467566259062434</v>
      </c>
    </row>
    <row r="89" spans="2:18">
      <c r="B89">
        <f t="shared" si="20"/>
        <v>86</v>
      </c>
      <c r="C89" s="4">
        <f t="shared" si="21"/>
        <v>16.799999999999972</v>
      </c>
      <c r="E89" s="6">
        <f t="shared" si="22"/>
        <v>2.1886775184304852E-5</v>
      </c>
      <c r="F89" s="6">
        <f t="shared" si="23"/>
        <v>0.99995846669713317</v>
      </c>
      <c r="G89" s="6"/>
      <c r="H89" s="6">
        <f t="shared" si="24"/>
        <v>1.1243366208942568E-4</v>
      </c>
      <c r="I89" s="6">
        <f t="shared" si="25"/>
        <v>0.99977513267582119</v>
      </c>
      <c r="J89" s="6"/>
      <c r="K89" s="6">
        <f t="shared" si="26"/>
        <v>3.6769782309632092E-4</v>
      </c>
      <c r="L89" s="6">
        <f t="shared" si="27"/>
        <v>0.99922307105094066</v>
      </c>
      <c r="M89" s="6"/>
      <c r="N89" s="6">
        <f t="shared" si="28"/>
        <v>9.4444276155117443E-4</v>
      </c>
      <c r="O89" s="6">
        <f t="shared" si="29"/>
        <v>0.99788624715271879</v>
      </c>
      <c r="P89" s="6"/>
      <c r="Q89" s="6">
        <f t="shared" si="30"/>
        <v>2.0591078093393955E-3</v>
      </c>
      <c r="R89" s="6">
        <f t="shared" si="31"/>
        <v>0.99510485543226179</v>
      </c>
    </row>
    <row r="90" spans="2:18">
      <c r="B90">
        <f t="shared" si="20"/>
        <v>87</v>
      </c>
      <c r="C90" s="4">
        <f t="shared" si="21"/>
        <v>16.999999999999972</v>
      </c>
      <c r="E90" s="6">
        <f t="shared" si="22"/>
        <v>1.968713452750991E-5</v>
      </c>
      <c r="F90" s="6">
        <f t="shared" si="23"/>
        <v>0.99996262018159832</v>
      </c>
      <c r="G90" s="6"/>
      <c r="H90" s="6">
        <f t="shared" si="24"/>
        <v>1.0173418450532351E-4</v>
      </c>
      <c r="I90" s="6">
        <f t="shared" si="25"/>
        <v>0.99979653163098936</v>
      </c>
      <c r="J90" s="6"/>
      <c r="K90" s="6">
        <f t="shared" si="26"/>
        <v>3.3468128696766819E-4</v>
      </c>
      <c r="L90" s="6">
        <f t="shared" si="27"/>
        <v>0.99929325760766297</v>
      </c>
      <c r="M90" s="6"/>
      <c r="N90" s="6">
        <f t="shared" si="28"/>
        <v>8.6474056829524866E-4</v>
      </c>
      <c r="O90" s="6">
        <f t="shared" si="29"/>
        <v>0.99806705049439892</v>
      </c>
      <c r="P90" s="6"/>
      <c r="Q90" s="6">
        <f t="shared" si="30"/>
        <v>1.8965272928167824E-3</v>
      </c>
      <c r="R90" s="6">
        <f t="shared" si="31"/>
        <v>0.99550020302202946</v>
      </c>
    </row>
    <row r="91" spans="2:18">
      <c r="B91">
        <f t="shared" si="20"/>
        <v>88</v>
      </c>
      <c r="C91" s="4">
        <f t="shared" si="21"/>
        <v>17.199999999999971</v>
      </c>
      <c r="E91" s="6">
        <f t="shared" si="22"/>
        <v>1.7709785374787597E-5</v>
      </c>
      <c r="F91" s="6">
        <f t="shared" si="23"/>
        <v>0.99996635636463882</v>
      </c>
      <c r="G91" s="6"/>
      <c r="H91" s="6">
        <f t="shared" si="24"/>
        <v>9.2052896833790912E-5</v>
      </c>
      <c r="I91" s="6">
        <f t="shared" si="25"/>
        <v>0.99981589420633243</v>
      </c>
      <c r="J91" s="6"/>
      <c r="K91" s="6">
        <f t="shared" si="26"/>
        <v>3.0460830844634631E-4</v>
      </c>
      <c r="L91" s="6">
        <f t="shared" si="27"/>
        <v>0.99935713974774609</v>
      </c>
      <c r="M91" s="6"/>
      <c r="N91" s="6">
        <f t="shared" si="28"/>
        <v>7.9165491277060056E-4</v>
      </c>
      <c r="O91" s="6">
        <f t="shared" si="29"/>
        <v>0.99823258438079121</v>
      </c>
      <c r="P91" s="6"/>
      <c r="Q91" s="6">
        <f t="shared" si="30"/>
        <v>1.7464209684257155E-3</v>
      </c>
      <c r="R91" s="6">
        <f t="shared" si="31"/>
        <v>0.99586429781089469</v>
      </c>
    </row>
    <row r="92" spans="2:18">
      <c r="B92">
        <f t="shared" si="20"/>
        <v>89</v>
      </c>
      <c r="C92" s="4">
        <f t="shared" si="21"/>
        <v>17.39999999999997</v>
      </c>
      <c r="E92" s="6">
        <f t="shared" si="22"/>
        <v>1.5932115608268648E-5</v>
      </c>
      <c r="F92" s="6">
        <f t="shared" si="23"/>
        <v>0.99996971740256302</v>
      </c>
      <c r="G92" s="6"/>
      <c r="H92" s="6">
        <f t="shared" si="24"/>
        <v>8.3292905493817962E-5</v>
      </c>
      <c r="I92" s="6">
        <f t="shared" si="25"/>
        <v>0.99983341418901239</v>
      </c>
      <c r="J92" s="6"/>
      <c r="K92" s="6">
        <f t="shared" si="26"/>
        <v>2.7721881158387414E-4</v>
      </c>
      <c r="L92" s="6">
        <f t="shared" si="27"/>
        <v>0.99941527977939526</v>
      </c>
      <c r="M92" s="6"/>
      <c r="N92" s="6">
        <f t="shared" si="28"/>
        <v>7.24648277796215E-4</v>
      </c>
      <c r="O92" s="6">
        <f t="shared" si="29"/>
        <v>0.99838411763341994</v>
      </c>
      <c r="P92" s="6"/>
      <c r="Q92" s="6">
        <f t="shared" si="30"/>
        <v>1.6078691071864677E-3</v>
      </c>
      <c r="R92" s="6">
        <f t="shared" si="31"/>
        <v>0.99619954156502233</v>
      </c>
    </row>
    <row r="93" spans="2:18">
      <c r="B93">
        <f t="shared" si="20"/>
        <v>90</v>
      </c>
      <c r="C93" s="4">
        <f t="shared" si="21"/>
        <v>17.599999999999969</v>
      </c>
      <c r="E93" s="6">
        <f t="shared" si="22"/>
        <v>1.433383137819293E-5</v>
      </c>
      <c r="F93" s="6">
        <f t="shared" si="23"/>
        <v>0.99997274116530599</v>
      </c>
      <c r="G93" s="6"/>
      <c r="H93" s="6">
        <f t="shared" si="24"/>
        <v>7.5366537547739458E-5</v>
      </c>
      <c r="I93" s="6">
        <f t="shared" si="25"/>
        <v>0.9998492669249045</v>
      </c>
      <c r="J93" s="6"/>
      <c r="K93" s="6">
        <f t="shared" si="26"/>
        <v>2.5227543225619535E-4</v>
      </c>
      <c r="L93" s="6">
        <f t="shared" si="27"/>
        <v>0.99946819030079359</v>
      </c>
      <c r="M93" s="6"/>
      <c r="N93" s="6">
        <f t="shared" si="28"/>
        <v>6.6322553042010609E-4</v>
      </c>
      <c r="O93" s="6">
        <f t="shared" si="29"/>
        <v>0.99852281586406433</v>
      </c>
      <c r="P93" s="6"/>
      <c r="Q93" s="6">
        <f t="shared" si="30"/>
        <v>1.4800158692363429E-3</v>
      </c>
      <c r="R93" s="6">
        <f t="shared" si="31"/>
        <v>0.99650815856232089</v>
      </c>
    </row>
    <row r="94" spans="2:18">
      <c r="B94">
        <f t="shared" si="20"/>
        <v>91</v>
      </c>
      <c r="C94" s="4">
        <f t="shared" si="21"/>
        <v>17.799999999999969</v>
      </c>
      <c r="E94" s="6">
        <f t="shared" si="22"/>
        <v>1.2896717170967093E-5</v>
      </c>
      <c r="F94" s="6">
        <f t="shared" si="23"/>
        <v>0.99997546167564721</v>
      </c>
      <c r="G94" s="6"/>
      <c r="H94" s="6">
        <f t="shared" si="24"/>
        <v>6.8194463241006797E-5</v>
      </c>
      <c r="I94" s="6">
        <f t="shared" si="25"/>
        <v>0.99986361107351795</v>
      </c>
      <c r="J94" s="6"/>
      <c r="K94" s="6">
        <f t="shared" si="26"/>
        <v>2.2956156564321392E-4</v>
      </c>
      <c r="L94" s="6">
        <f t="shared" si="27"/>
        <v>0.99951633854436084</v>
      </c>
      <c r="M94" s="6"/>
      <c r="N94" s="6">
        <f t="shared" si="28"/>
        <v>6.0693072284495966E-4</v>
      </c>
      <c r="O94" s="6">
        <f t="shared" si="29"/>
        <v>0.99864974962782804</v>
      </c>
      <c r="P94" s="6"/>
      <c r="Q94" s="6">
        <f t="shared" si="30"/>
        <v>1.3620652894830671E-3</v>
      </c>
      <c r="R94" s="6">
        <f t="shared" si="31"/>
        <v>0.99679220796539469</v>
      </c>
    </row>
    <row r="95" spans="2:18">
      <c r="B95">
        <f t="shared" si="20"/>
        <v>92</v>
      </c>
      <c r="C95" s="4">
        <f t="shared" si="21"/>
        <v>17.999999999999968</v>
      </c>
      <c r="E95" s="6">
        <f t="shared" si="22"/>
        <v>1.1604420995562519E-5</v>
      </c>
      <c r="F95" s="6">
        <f t="shared" si="23"/>
        <v>0.99997790950300136</v>
      </c>
      <c r="G95" s="6"/>
      <c r="H95" s="6">
        <f t="shared" si="24"/>
        <v>6.1704902043340783E-5</v>
      </c>
      <c r="I95" s="6">
        <f t="shared" si="25"/>
        <v>0.99987659019591335</v>
      </c>
      <c r="J95" s="6"/>
      <c r="K95" s="6">
        <f t="shared" si="26"/>
        <v>2.0887957792012504E-4</v>
      </c>
      <c r="L95" s="6">
        <f t="shared" si="27"/>
        <v>0.99956015034716117</v>
      </c>
      <c r="M95" s="6"/>
      <c r="N95" s="6">
        <f t="shared" si="28"/>
        <v>5.5534411839006591E-4</v>
      </c>
      <c r="O95" s="6">
        <f t="shared" si="29"/>
        <v>0.99876590195913317</v>
      </c>
      <c r="P95" s="6"/>
      <c r="Q95" s="6">
        <f t="shared" si="30"/>
        <v>1.2532774675207475E-3</v>
      </c>
      <c r="R95" s="6">
        <f t="shared" si="31"/>
        <v>0.99705359541211969</v>
      </c>
    </row>
    <row r="96" spans="2:18">
      <c r="B96">
        <f t="shared" si="20"/>
        <v>93</v>
      </c>
      <c r="C96" s="4">
        <f t="shared" si="21"/>
        <v>18.199999999999967</v>
      </c>
      <c r="E96" s="6">
        <f t="shared" si="22"/>
        <v>1.0442262021572843E-5</v>
      </c>
      <c r="F96" s="6">
        <f t="shared" si="23"/>
        <v>0.99998011211653282</v>
      </c>
      <c r="G96" s="6"/>
      <c r="H96" s="6">
        <f t="shared" si="24"/>
        <v>5.5832904245058276E-5</v>
      </c>
      <c r="I96" s="6">
        <f t="shared" si="25"/>
        <v>0.99988833419150991</v>
      </c>
      <c r="J96" s="6"/>
      <c r="K96" s="6">
        <f t="shared" si="26"/>
        <v>1.9004916879262549E-4</v>
      </c>
      <c r="L96" s="6">
        <f t="shared" si="27"/>
        <v>0.99960001377894758</v>
      </c>
      <c r="M96" s="6"/>
      <c r="N96" s="6">
        <f t="shared" si="28"/>
        <v>5.0807942863003005E-4</v>
      </c>
      <c r="O96" s="6">
        <f t="shared" si="29"/>
        <v>0.99887217533424977</v>
      </c>
      <c r="P96" s="6"/>
      <c r="Q96" s="6">
        <f t="shared" si="30"/>
        <v>1.1529649573419267E-3</v>
      </c>
      <c r="R96" s="6">
        <f t="shared" si="31"/>
        <v>0.99729408386426366</v>
      </c>
    </row>
    <row r="97" spans="2:18">
      <c r="B97">
        <f t="shared" si="20"/>
        <v>94</v>
      </c>
      <c r="C97" s="4">
        <f t="shared" si="21"/>
        <v>18.399999999999967</v>
      </c>
      <c r="E97" s="6">
        <f t="shared" si="22"/>
        <v>9.3970582902531107E-6</v>
      </c>
      <c r="F97" s="6">
        <f t="shared" si="23"/>
        <v>0.99998209420184259</v>
      </c>
      <c r="G97" s="6"/>
      <c r="H97" s="6">
        <f t="shared" si="24"/>
        <v>5.0519700918547516E-5</v>
      </c>
      <c r="I97" s="6">
        <f t="shared" si="25"/>
        <v>0.99989896059816286</v>
      </c>
      <c r="J97" s="6"/>
      <c r="K97" s="6">
        <f t="shared" si="26"/>
        <v>1.7290587254065713E-4</v>
      </c>
      <c r="L97" s="6">
        <f t="shared" si="27"/>
        <v>0.99963628245676128</v>
      </c>
      <c r="M97" s="6"/>
      <c r="N97" s="6">
        <f t="shared" si="28"/>
        <v>4.6478124845063652E-4</v>
      </c>
      <c r="O97" s="6">
        <f t="shared" si="29"/>
        <v>0.99896939810126162</v>
      </c>
      <c r="P97" s="6"/>
      <c r="Q97" s="6">
        <f t="shared" si="30"/>
        <v>1.0604893515826946E-3</v>
      </c>
      <c r="R97" s="6">
        <f t="shared" si="31"/>
        <v>0.99751530375359598</v>
      </c>
    </row>
    <row r="98" spans="2:18">
      <c r="B98">
        <f t="shared" si="20"/>
        <v>95</v>
      </c>
      <c r="C98" s="4">
        <f t="shared" si="21"/>
        <v>18.599999999999966</v>
      </c>
      <c r="E98" s="6">
        <f t="shared" si="22"/>
        <v>8.4569723760999459E-6</v>
      </c>
      <c r="F98" s="6">
        <f t="shared" si="23"/>
        <v>0.99998387794502663</v>
      </c>
      <c r="G98" s="6"/>
      <c r="H98" s="6">
        <f t="shared" si="24"/>
        <v>4.5712115739087461E-5</v>
      </c>
      <c r="I98" s="6">
        <f t="shared" si="25"/>
        <v>0.99990857576852188</v>
      </c>
      <c r="J98" s="6"/>
      <c r="K98" s="6">
        <f t="shared" si="26"/>
        <v>1.5729968619545876E-4</v>
      </c>
      <c r="L98" s="6">
        <f t="shared" si="27"/>
        <v>0.99966927857263577</v>
      </c>
      <c r="M98" s="6"/>
      <c r="N98" s="6">
        <f t="shared" si="28"/>
        <v>4.2512267637351286E-4</v>
      </c>
      <c r="O98" s="6">
        <f t="shared" si="29"/>
        <v>0.99905833041577474</v>
      </c>
      <c r="P98" s="6"/>
      <c r="Q98" s="6">
        <f t="shared" si="30"/>
        <v>9.7525805441184298E-4</v>
      </c>
      <c r="R98" s="6">
        <f t="shared" si="31"/>
        <v>0.99771876246381197</v>
      </c>
    </row>
    <row r="99" spans="2:18">
      <c r="B99">
        <f t="shared" si="20"/>
        <v>96</v>
      </c>
      <c r="C99" s="4">
        <f t="shared" si="21"/>
        <v>18.799999999999965</v>
      </c>
      <c r="E99" s="6">
        <f t="shared" si="22"/>
        <v>7.6113731045996836E-6</v>
      </c>
      <c r="F99" s="6">
        <f t="shared" si="23"/>
        <v>0.99998548328750081</v>
      </c>
      <c r="G99" s="6"/>
      <c r="H99" s="6">
        <f t="shared" si="24"/>
        <v>4.1362032778316839E-5</v>
      </c>
      <c r="I99" s="6">
        <f t="shared" si="25"/>
        <v>0.99991727593444335</v>
      </c>
      <c r="J99" s="6"/>
      <c r="K99" s="6">
        <f t="shared" si="26"/>
        <v>1.4309381436647381E-4</v>
      </c>
      <c r="L99" s="6">
        <f t="shared" si="27"/>
        <v>0.99969929565876781</v>
      </c>
      <c r="M99" s="6"/>
      <c r="N99" s="6">
        <f t="shared" si="28"/>
        <v>3.888031081161777E-4</v>
      </c>
      <c r="O99" s="6">
        <f t="shared" si="29"/>
        <v>0.999139669718211</v>
      </c>
      <c r="P99" s="6"/>
      <c r="Q99" s="6">
        <f t="shared" si="30"/>
        <v>8.967212366965679E-4</v>
      </c>
      <c r="R99" s="6">
        <f t="shared" si="31"/>
        <v>0.99790585318537461</v>
      </c>
    </row>
    <row r="100" spans="2:18">
      <c r="B100">
        <f t="shared" si="20"/>
        <v>97</v>
      </c>
      <c r="C100" s="4">
        <f t="shared" si="21"/>
        <v>18.999999999999964</v>
      </c>
      <c r="E100" s="6">
        <f t="shared" si="22"/>
        <v>6.8507116348432272E-6</v>
      </c>
      <c r="F100" s="6">
        <f t="shared" si="23"/>
        <v>0.99998692815463319</v>
      </c>
      <c r="G100" s="6"/>
      <c r="H100" s="6">
        <f t="shared" si="24"/>
        <v>3.7425914943850956E-5</v>
      </c>
      <c r="I100" s="6">
        <f t="shared" si="25"/>
        <v>0.99992514817011224</v>
      </c>
      <c r="J100" s="6"/>
      <c r="K100" s="6">
        <f t="shared" si="26"/>
        <v>1.3016352106202112E-4</v>
      </c>
      <c r="L100" s="6">
        <f t="shared" si="27"/>
        <v>0.99972660111250922</v>
      </c>
      <c r="M100" s="6"/>
      <c r="N100" s="6">
        <f t="shared" si="28"/>
        <v>3.5554619196658351E-4</v>
      </c>
      <c r="O100" s="6">
        <f t="shared" si="29"/>
        <v>0.99921405578617906</v>
      </c>
      <c r="P100" s="6"/>
      <c r="Q100" s="6">
        <f t="shared" si="30"/>
        <v>8.2436896672613222E-4</v>
      </c>
      <c r="R100" s="6">
        <f t="shared" si="31"/>
        <v>0.998077863179057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ChiSquare_n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Drouin</dc:creator>
  <cp:lastModifiedBy>Jerome Drouin</cp:lastModifiedBy>
  <dcterms:created xsi:type="dcterms:W3CDTF">2019-01-22T10:36:21Z</dcterms:created>
  <dcterms:modified xsi:type="dcterms:W3CDTF">2019-01-31T11:50:34Z</dcterms:modified>
</cp:coreProperties>
</file>